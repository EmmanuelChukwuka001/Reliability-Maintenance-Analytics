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EEA8744-CE7E-44AB-AF94-B3CE8AC8A9BC}" xr6:coauthVersionLast="47" xr6:coauthVersionMax="47" xr10:uidLastSave="{00000000-0000-0000-0000-000000000000}"/>
  <bookViews>
    <workbookView xWindow="-120" yWindow="-120" windowWidth="20730" windowHeight="11040" activeTab="5" xr2:uid="{00000000-000D-0000-FFFF-FFFF00000000}"/>
  </bookViews>
  <sheets>
    <sheet name="Project_Brief" sheetId="3" r:id="rId1"/>
    <sheet name="Fact_Table" sheetId="1" state="hidden" r:id="rId2"/>
    <sheet name="Asset_Master" sheetId="2" r:id="rId3"/>
    <sheet name="Maintenance Data" sheetId="4" r:id="rId4"/>
    <sheet name="Pivot Analysis" sheetId="5" r:id="rId5"/>
    <sheet name="Dashboard" sheetId="6" r:id="rId6"/>
  </sheets>
  <definedNames>
    <definedName name="Slicer_Asset_ID">#N/A</definedName>
    <definedName name="Slicer_Date_Hierarchy">#N/A</definedName>
    <definedName name="Slicer_Maintenance_Type">#N/A</definedName>
    <definedName name="Slicer_Priority">#N/A</definedName>
  </definedNames>
  <calcPr calcId="191029"/>
  <pivotCaches>
    <pivotCache cacheId="2107" r:id="rId7"/>
    <pivotCache cacheId="2110" r:id="rId8"/>
    <pivotCache cacheId="2113" r:id="rId9"/>
    <pivotCache cacheId="2116" r:id="rId10"/>
    <pivotCache cacheId="2119" r:id="rId11"/>
    <pivotCache cacheId="2122" r:id="rId12"/>
    <pivotCache cacheId="2125" r:id="rId13"/>
    <pivotCache cacheId="2128" r:id="rId14"/>
    <pivotCache cacheId="2131" r:id="rId15"/>
    <pivotCache cacheId="2134" r:id="rId16"/>
    <pivotCache cacheId="2137" r:id="rId17"/>
  </pivotCaches>
  <extLst>
    <ext xmlns:x14="http://schemas.microsoft.com/office/spreadsheetml/2009/9/main" uri="{876F7934-8845-4945-9796-88D515C7AA90}">
      <x14:pivotCaches>
        <pivotCache cacheId="2040"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intenance_Data_5ace5ca5-18e5-43bf-8ba6-24410dbe8f0f" name="Maintenance_Data" connection="Query - Maintenance_Data"/>
          <x15:modelTable id="A_acab38d0-0c71-4f61-b116-3a07e52642b1" name="A" connection="Query - Measures"/>
          <x15:modelTable id="Calendar" name="Calendar" connection="Connection"/>
        </x15:modelTables>
        <x15:modelRelationships>
          <x15:modelRelationship fromTable="Maintenance_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2" l="1"/>
  <c r="H19" i="2"/>
  <c r="H20" i="2"/>
  <c r="H21" i="2"/>
  <c r="H22" i="2"/>
  <c r="H23" i="2"/>
  <c r="H24" i="2"/>
  <c r="H25" i="2"/>
  <c r="H26" i="2"/>
  <c r="H27" i="2"/>
  <c r="H28" i="2"/>
  <c r="H17" i="2"/>
  <c r="G18" i="2"/>
  <c r="G19" i="2"/>
  <c r="G20" i="2"/>
  <c r="G21" i="2"/>
  <c r="G22" i="2"/>
  <c r="G23" i="2"/>
  <c r="G24" i="2"/>
  <c r="G25" i="2"/>
  <c r="G26" i="2"/>
  <c r="G27" i="2"/>
  <c r="G28" i="2"/>
  <c r="G17" i="2"/>
  <c r="F18" i="2"/>
  <c r="F19" i="2"/>
  <c r="F20" i="2"/>
  <c r="F21" i="2"/>
  <c r="F22" i="2"/>
  <c r="F23" i="2"/>
  <c r="F24" i="2"/>
  <c r="F25" i="2"/>
  <c r="F26" i="2"/>
  <c r="F27" i="2"/>
  <c r="F28" i="2"/>
  <c r="F17" i="2"/>
  <c r="E18" i="2"/>
  <c r="E19" i="2"/>
  <c r="E20" i="2"/>
  <c r="E21" i="2"/>
  <c r="E22" i="2"/>
  <c r="E23" i="2"/>
  <c r="E24" i="2"/>
  <c r="E25" i="2"/>
  <c r="E26" i="2"/>
  <c r="E27" i="2"/>
  <c r="E28" i="2"/>
  <c r="E17" i="2"/>
  <c r="D18" i="2"/>
  <c r="D19" i="2"/>
  <c r="D20" i="2"/>
  <c r="D21" i="2"/>
  <c r="D22" i="2"/>
  <c r="D23" i="2"/>
  <c r="D24" i="2"/>
  <c r="D25" i="2"/>
  <c r="D26" i="2"/>
  <c r="D27" i="2"/>
  <c r="D28" i="2"/>
  <c r="D17" i="2"/>
  <c r="C18" i="2"/>
  <c r="C19" i="2"/>
  <c r="C20" i="2"/>
  <c r="C21" i="2"/>
  <c r="C22" i="2"/>
  <c r="C23" i="2"/>
  <c r="C24" i="2"/>
  <c r="C25" i="2"/>
  <c r="C26" i="2"/>
  <c r="C27" i="2"/>
  <c r="C28" i="2"/>
  <c r="C17" i="2"/>
  <c r="J2" i="2"/>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2" i="4"/>
  <c r="O301" i="4"/>
  <c r="O300" i="4"/>
  <c r="O299" i="4"/>
  <c r="O298" i="4"/>
  <c r="O297" i="4"/>
  <c r="O296" i="4"/>
  <c r="O295" i="4"/>
  <c r="O294" i="4"/>
  <c r="O293" i="4"/>
  <c r="O292" i="4"/>
  <c r="O291" i="4"/>
  <c r="O290" i="4"/>
  <c r="O289" i="4"/>
  <c r="O288" i="4"/>
  <c r="O287" i="4"/>
  <c r="O286" i="4"/>
  <c r="O285" i="4"/>
  <c r="O284" i="4"/>
  <c r="O283" i="4"/>
  <c r="O282" i="4"/>
  <c r="O281" i="4"/>
  <c r="O280" i="4"/>
  <c r="O279" i="4"/>
  <c r="O278" i="4"/>
  <c r="O277" i="4"/>
  <c r="O276" i="4"/>
  <c r="O275" i="4"/>
  <c r="O274" i="4"/>
  <c r="O273" i="4"/>
  <c r="O272" i="4"/>
  <c r="O271" i="4"/>
  <c r="O270" i="4"/>
  <c r="O269" i="4"/>
  <c r="O268" i="4"/>
  <c r="O267" i="4"/>
  <c r="O266" i="4"/>
  <c r="O265" i="4"/>
  <c r="O264" i="4"/>
  <c r="O263" i="4"/>
  <c r="O262"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O2" i="4"/>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021797-88E3-4BEF-855E-BA16E879422C}" name="Connection" type="104" refreshedVersion="0" background="1">
    <extLst>
      <ext xmlns:x15="http://schemas.microsoft.com/office/spreadsheetml/2010/11/main" uri="{DE250136-89BD-433C-8126-D09CA5730AF9}">
        <x15:connection id="Calendar"/>
      </ext>
    </extLst>
  </connection>
  <connection id="2" xr16:uid="{A9EA8AF6-0279-442F-844F-E3AA8D34899D}" name="Query - Maintenance_Data" description="Connection to the 'Maintenance_Data' query in the workbook." type="100" refreshedVersion="8" minRefreshableVersion="5">
    <extLst>
      <ext xmlns:x15="http://schemas.microsoft.com/office/spreadsheetml/2010/11/main" uri="{DE250136-89BD-433C-8126-D09CA5730AF9}">
        <x15:connection id="b139bb18-9b0b-44e4-92c9-916878d9c661"/>
      </ext>
    </extLst>
  </connection>
  <connection id="3" xr16:uid="{78C9F0F8-2281-4449-84C7-E27E722899D1}" name="Query - Measures" description="Connection to the 'Measures' query in the workbook." type="100" refreshedVersion="8" minRefreshableVersion="5">
    <extLst>
      <ext xmlns:x15="http://schemas.microsoft.com/office/spreadsheetml/2010/11/main" uri="{DE250136-89BD-433C-8126-D09CA5730AF9}">
        <x15:connection id="ced0eb8f-da34-4b31-8864-d16f6dbd89b7"/>
      </ext>
    </extLst>
  </connection>
  <connection id="4" xr16:uid="{2707F6C7-8F6C-48AE-8A0A-272724C59D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<sst xmlns="http://schemas.openxmlformats.org/spreadsheetml/2006/main" count="4487" uniqueCount="431">
  <si>
    <t>Work_Order_ID</t>
  </si>
  <si>
    <t>Date</t>
  </si>
  <si>
    <t>Asset_ID</t>
  </si>
  <si>
    <t>Maintenance_Type</t>
  </si>
  <si>
    <t>Failure_Mode</t>
  </si>
  <si>
    <t>Priority</t>
  </si>
  <si>
    <t>Status</t>
  </si>
  <si>
    <t>Technician_ID</t>
  </si>
  <si>
    <t>Failure_Count</t>
  </si>
  <si>
    <t>Downtime_Hours</t>
  </si>
  <si>
    <t>Repair_Hours</t>
  </si>
  <si>
    <t>Labour_Hours</t>
  </si>
  <si>
    <t>Spare_Part_Cost_USD</t>
  </si>
  <si>
    <t>Labour_Cost_USD</t>
  </si>
  <si>
    <t>Total_Maintenance_Cost_USD</t>
  </si>
  <si>
    <t>WO-0104</t>
  </si>
  <si>
    <t>AST-003</t>
  </si>
  <si>
    <t>Breakdown</t>
  </si>
  <si>
    <t>Leakage</t>
  </si>
  <si>
    <t>Critical</t>
  </si>
  <si>
    <t>Completed</t>
  </si>
  <si>
    <t>TECH-06</t>
  </si>
  <si>
    <t>WO-0300</t>
  </si>
  <si>
    <t>AST-007</t>
  </si>
  <si>
    <t>Control Failure</t>
  </si>
  <si>
    <t>TECH-05</t>
  </si>
  <si>
    <t>WO-0233</t>
  </si>
  <si>
    <t>AST-009</t>
  </si>
  <si>
    <t>Preventive</t>
  </si>
  <si>
    <t>Calibration</t>
  </si>
  <si>
    <t>Medium</t>
  </si>
  <si>
    <t>WO-0272</t>
  </si>
  <si>
    <t>AST-001</t>
  </si>
  <si>
    <t>Lubrication</t>
  </si>
  <si>
    <t>TECH-01</t>
  </si>
  <si>
    <t>WO-0170</t>
  </si>
  <si>
    <t>AST-012</t>
  </si>
  <si>
    <t>Inspection</t>
  </si>
  <si>
    <t>Low</t>
  </si>
  <si>
    <t>TECH-08</t>
  </si>
  <si>
    <t>WO-0138</t>
  </si>
  <si>
    <t>AST-004</t>
  </si>
  <si>
    <t>Scheduled Service</t>
  </si>
  <si>
    <t>WO-0147</t>
  </si>
  <si>
    <t>Corrective</t>
  </si>
  <si>
    <t>TECH-02</t>
  </si>
  <si>
    <t>WO-0117</t>
  </si>
  <si>
    <t>Electrical Fault</t>
  </si>
  <si>
    <t>WO-0250</t>
  </si>
  <si>
    <t>AST-005</t>
  </si>
  <si>
    <t>WO-0056</t>
  </si>
  <si>
    <t>Bearing Failure</t>
  </si>
  <si>
    <t>WO-0150</t>
  </si>
  <si>
    <t>AST-008</t>
  </si>
  <si>
    <t>Overheating</t>
  </si>
  <si>
    <t>TECH-03</t>
  </si>
  <si>
    <t>WO-0279</t>
  </si>
  <si>
    <t>Cancelled</t>
  </si>
  <si>
    <t>TECH-07</t>
  </si>
  <si>
    <t>WO-0036</t>
  </si>
  <si>
    <t>WO-0045</t>
  </si>
  <si>
    <t>AST-002</t>
  </si>
  <si>
    <t>High</t>
  </si>
  <si>
    <t>In Progress</t>
  </si>
  <si>
    <t>WO-0069</t>
  </si>
  <si>
    <t>AST-011</t>
  </si>
  <si>
    <t>WO-0217</t>
  </si>
  <si>
    <t>WO-0127</t>
  </si>
  <si>
    <t>Vibration</t>
  </si>
  <si>
    <t>TECH-04</t>
  </si>
  <si>
    <t>WO-0246</t>
  </si>
  <si>
    <t>WO-0280</t>
  </si>
  <si>
    <t>AST-010</t>
  </si>
  <si>
    <t>WO-0196</t>
  </si>
  <si>
    <t>WO-0007</t>
  </si>
  <si>
    <t>WO-0172</t>
  </si>
  <si>
    <t>WO-0001</t>
  </si>
  <si>
    <t>WO-0133</t>
  </si>
  <si>
    <t>WO-0033</t>
  </si>
  <si>
    <t>AST-006</t>
  </si>
  <si>
    <t>WO-0243</t>
  </si>
  <si>
    <t>WO-0010</t>
  </si>
  <si>
    <t>WO-0087</t>
  </si>
  <si>
    <t>WO-0218</t>
  </si>
  <si>
    <t>WO-0258</t>
  </si>
  <si>
    <t>WO-0171</t>
  </si>
  <si>
    <t>Mechanical Seal</t>
  </si>
  <si>
    <t>WO-0120</t>
  </si>
  <si>
    <t>WO-0198</t>
  </si>
  <si>
    <t>WO-0018</t>
  </si>
  <si>
    <t>WO-0157</t>
  </si>
  <si>
    <t>WO-0221</t>
  </si>
  <si>
    <t>WO-0074</t>
  </si>
  <si>
    <t>WO-0241</t>
  </si>
  <si>
    <t>WO-0118</t>
  </si>
  <si>
    <t>WO-0100</t>
  </si>
  <si>
    <t>WO-0256</t>
  </si>
  <si>
    <t>WO-0273</t>
  </si>
  <si>
    <t>WO-0182</t>
  </si>
  <si>
    <t>WO-0058</t>
  </si>
  <si>
    <t>WO-0083</t>
  </si>
  <si>
    <t>WO-0287</t>
  </si>
  <si>
    <t>WO-0178</t>
  </si>
  <si>
    <t>WO-0041</t>
  </si>
  <si>
    <t>WO-0168</t>
  </si>
  <si>
    <t>WO-0187</t>
  </si>
  <si>
    <t>WO-0262</t>
  </si>
  <si>
    <t>WO-0259</t>
  </si>
  <si>
    <t>WO-0230</t>
  </si>
  <si>
    <t>WO-0251</t>
  </si>
  <si>
    <t>WO-0023</t>
  </si>
  <si>
    <t>WO-0253</t>
  </si>
  <si>
    <t>WO-0072</t>
  </si>
  <si>
    <t>WO-0052</t>
  </si>
  <si>
    <t>WO-0102</t>
  </si>
  <si>
    <t>WO-0224</t>
  </si>
  <si>
    <t>WO-0009</t>
  </si>
  <si>
    <t>WO-0142</t>
  </si>
  <si>
    <t>WO-0078</t>
  </si>
  <si>
    <t>WO-0032</t>
  </si>
  <si>
    <t>WO-0148</t>
  </si>
  <si>
    <t>WO-0097</t>
  </si>
  <si>
    <t>WO-0189</t>
  </si>
  <si>
    <t>WO-0119</t>
  </si>
  <si>
    <t>WO-0211</t>
  </si>
  <si>
    <t>WO-0209</t>
  </si>
  <si>
    <t>WO-0292</t>
  </si>
  <si>
    <t>WO-0206</t>
  </si>
  <si>
    <t>WO-0216</t>
  </si>
  <si>
    <t>WO-0143</t>
  </si>
  <si>
    <t>WO-0281</t>
  </si>
  <si>
    <t>WO-0111</t>
  </si>
  <si>
    <t>WO-0039</t>
  </si>
  <si>
    <t>WO-0152</t>
  </si>
  <si>
    <t>WO-0299</t>
  </si>
  <si>
    <t>WO-0096</t>
  </si>
  <si>
    <t>WO-0154</t>
  </si>
  <si>
    <t>WO-0271</t>
  </si>
  <si>
    <t>WO-0263</t>
  </si>
  <si>
    <t>WO-0136</t>
  </si>
  <si>
    <t>WO-0190</t>
  </si>
  <si>
    <t>WO-0226</t>
  </si>
  <si>
    <t>WO-0239</t>
  </si>
  <si>
    <t>WO-0088</t>
  </si>
  <si>
    <t>WO-0167</t>
  </si>
  <si>
    <t>WO-0066</t>
  </si>
  <si>
    <t>WO-0254</t>
  </si>
  <si>
    <t>WO-0077</t>
  </si>
  <si>
    <t>WO-0294</t>
  </si>
  <si>
    <t>WO-0169</t>
  </si>
  <si>
    <t>WO-0199</t>
  </si>
  <si>
    <t>WO-0197</t>
  </si>
  <si>
    <t>WO-0268</t>
  </si>
  <si>
    <t>WO-0139</t>
  </si>
  <si>
    <t>WO-0044</t>
  </si>
  <si>
    <t>WO-0053</t>
  </si>
  <si>
    <t>WO-0194</t>
  </si>
  <si>
    <t>WO-0063</t>
  </si>
  <si>
    <t>WO-0201</t>
  </si>
  <si>
    <t>WO-0068</t>
  </si>
  <si>
    <t>WO-0022</t>
  </si>
  <si>
    <t>WO-0188</t>
  </si>
  <si>
    <t>WO-0094</t>
  </si>
  <si>
    <t>WO-0027</t>
  </si>
  <si>
    <t>WO-0164</t>
  </si>
  <si>
    <t>WO-0065</t>
  </si>
  <si>
    <t>WO-0144</t>
  </si>
  <si>
    <t>WO-0163</t>
  </si>
  <si>
    <t>WO-0248</t>
  </si>
  <si>
    <t>WO-0165</t>
  </si>
  <si>
    <t>WO-0275</t>
  </si>
  <si>
    <t>WO-0238</t>
  </si>
  <si>
    <t>WO-0155</t>
  </si>
  <si>
    <t>WO-0005</t>
  </si>
  <si>
    <t>WO-0091</t>
  </si>
  <si>
    <t>WO-0140</t>
  </si>
  <si>
    <t>WO-0082</t>
  </si>
  <si>
    <t>WO-0121</t>
  </si>
  <si>
    <t>WO-0298</t>
  </si>
  <si>
    <t>WO-0004</t>
  </si>
  <si>
    <t>WO-0285</t>
  </si>
  <si>
    <t>WO-0030</t>
  </si>
  <si>
    <t>WO-0186</t>
  </si>
  <si>
    <t>WO-0047</t>
  </si>
  <si>
    <t>WO-0267</t>
  </si>
  <si>
    <t>WO-0219</t>
  </si>
  <si>
    <t>WO-0031</t>
  </si>
  <si>
    <t>WO-0214</t>
  </si>
  <si>
    <t>WO-0020</t>
  </si>
  <si>
    <t>WO-0222</t>
  </si>
  <si>
    <t>WO-0205</t>
  </si>
  <si>
    <t>WO-0114</t>
  </si>
  <si>
    <t>WO-0073</t>
  </si>
  <si>
    <t>WO-0176</t>
  </si>
  <si>
    <t>WO-0231</t>
  </si>
  <si>
    <t>WO-0277</t>
  </si>
  <si>
    <t>WO-0054</t>
  </si>
  <si>
    <t>WO-0124</t>
  </si>
  <si>
    <t>WO-0070</t>
  </si>
  <si>
    <t>WO-0290</t>
  </si>
  <si>
    <t>WO-0109</t>
  </si>
  <si>
    <t>WO-0076</t>
  </si>
  <si>
    <t>WO-0276</t>
  </si>
  <si>
    <t>WO-0282</t>
  </si>
  <si>
    <t>WO-0235</t>
  </si>
  <si>
    <t>WO-0284</t>
  </si>
  <si>
    <t>WO-0252</t>
  </si>
  <si>
    <t>WO-0185</t>
  </si>
  <si>
    <t>WO-0203</t>
  </si>
  <si>
    <t>WO-0183</t>
  </si>
  <si>
    <t>WO-0055</t>
  </si>
  <si>
    <t>WO-0180</t>
  </si>
  <si>
    <t>WO-0021</t>
  </si>
  <si>
    <t>WO-0159</t>
  </si>
  <si>
    <t>WO-0115</t>
  </si>
  <si>
    <t>WO-0017</t>
  </si>
  <si>
    <t>WO-0296</t>
  </si>
  <si>
    <t>WO-0011</t>
  </si>
  <si>
    <t>WO-0289</t>
  </si>
  <si>
    <t>WO-0295</t>
  </si>
  <si>
    <t>WO-0029</t>
  </si>
  <si>
    <t>WO-0229</t>
  </si>
  <si>
    <t>WO-0057</t>
  </si>
  <si>
    <t>WO-0132</t>
  </si>
  <si>
    <t>WO-0113</t>
  </si>
  <si>
    <t>WO-0034</t>
  </si>
  <si>
    <t>WO-0158</t>
  </si>
  <si>
    <t>WO-0134</t>
  </si>
  <si>
    <t>WO-0079</t>
  </si>
  <si>
    <t>WO-0126</t>
  </si>
  <si>
    <t>WO-0131</t>
  </si>
  <si>
    <t>WO-0116</t>
  </si>
  <si>
    <t>WO-0288</t>
  </si>
  <si>
    <t>WO-0129</t>
  </si>
  <si>
    <t>WO-0228</t>
  </si>
  <si>
    <t>WO-0266</t>
  </si>
  <si>
    <t>WO-0242</t>
  </si>
  <si>
    <t>WO-0260</t>
  </si>
  <si>
    <t>WO-0270</t>
  </si>
  <si>
    <t>WO-0137</t>
  </si>
  <si>
    <t>WO-0193</t>
  </si>
  <si>
    <t>WO-0269</t>
  </si>
  <si>
    <t>WO-0240</t>
  </si>
  <si>
    <t>WO-0085</t>
  </si>
  <si>
    <t>WO-0245</t>
  </si>
  <si>
    <t>WO-0192</t>
  </si>
  <si>
    <t>WO-0040</t>
  </si>
  <si>
    <t>WO-0130</t>
  </si>
  <si>
    <t>WO-0099</t>
  </si>
  <si>
    <t>WO-0026</t>
  </si>
  <si>
    <t>WO-0244</t>
  </si>
  <si>
    <t>WO-0123</t>
  </si>
  <si>
    <t>WO-0003</t>
  </si>
  <si>
    <t>WO-0255</t>
  </si>
  <si>
    <t>WO-0156</t>
  </si>
  <si>
    <t>WO-0162</t>
  </si>
  <si>
    <t>WO-0237</t>
  </si>
  <si>
    <t>WO-0108</t>
  </si>
  <si>
    <t>WO-0122</t>
  </si>
  <si>
    <t>WO-0283</t>
  </si>
  <si>
    <t>WO-0080</t>
  </si>
  <si>
    <t>WO-0257</t>
  </si>
  <si>
    <t>WO-0049</t>
  </si>
  <si>
    <t>WO-0098</t>
  </si>
  <si>
    <t>WO-0060</t>
  </si>
  <si>
    <t>WO-0191</t>
  </si>
  <si>
    <t>WO-0075</t>
  </si>
  <si>
    <t>WO-0175</t>
  </si>
  <si>
    <t>WO-0184</t>
  </si>
  <si>
    <t>WO-0008</t>
  </si>
  <si>
    <t>WO-0086</t>
  </si>
  <si>
    <t>WO-0043</t>
  </si>
  <si>
    <t>WO-0204</t>
  </si>
  <si>
    <t>WO-0223</t>
  </si>
  <si>
    <t>WO-0110</t>
  </si>
  <si>
    <t>WO-0212</t>
  </si>
  <si>
    <t>WO-0015</t>
  </si>
  <si>
    <t>WO-0177</t>
  </si>
  <si>
    <t>WO-0236</t>
  </si>
  <si>
    <t>WO-0225</t>
  </si>
  <si>
    <t>WO-0174</t>
  </si>
  <si>
    <t>WO-0215</t>
  </si>
  <si>
    <t>WO-0013</t>
  </si>
  <si>
    <t>WO-0059</t>
  </si>
  <si>
    <t>WO-0062</t>
  </si>
  <si>
    <t>WO-0247</t>
  </si>
  <si>
    <t>WO-0234</t>
  </si>
  <si>
    <t>WO-0042</t>
  </si>
  <si>
    <t>WO-0051</t>
  </si>
  <si>
    <t>WO-0014</t>
  </si>
  <si>
    <t>WO-0207</t>
  </si>
  <si>
    <t>WO-0128</t>
  </si>
  <si>
    <t>WO-0089</t>
  </si>
  <si>
    <t>WO-0173</t>
  </si>
  <si>
    <t>WO-0002</t>
  </si>
  <si>
    <t>WO-0112</t>
  </si>
  <si>
    <t>WO-0050</t>
  </si>
  <si>
    <t>WO-0210</t>
  </si>
  <si>
    <t>WO-0107</t>
  </si>
  <si>
    <t>WO-0025</t>
  </si>
  <si>
    <t>WO-0278</t>
  </si>
  <si>
    <t>WO-0016</t>
  </si>
  <si>
    <t>WO-0160</t>
  </si>
  <si>
    <t>WO-0249</t>
  </si>
  <si>
    <t>WO-0213</t>
  </si>
  <si>
    <t>WO-0106</t>
  </si>
  <si>
    <t>WO-0261</t>
  </si>
  <si>
    <t>WO-0135</t>
  </si>
  <si>
    <t>WO-0071</t>
  </si>
  <si>
    <t>WO-0105</t>
  </si>
  <si>
    <t>WO-0103</t>
  </si>
  <si>
    <t>WO-0092</t>
  </si>
  <si>
    <t>WO-0291</t>
  </si>
  <si>
    <t>WO-0227</t>
  </si>
  <si>
    <t>WO-0166</t>
  </si>
  <si>
    <t>WO-0149</t>
  </si>
  <si>
    <t>WO-0028</t>
  </si>
  <si>
    <t>WO-0038</t>
  </si>
  <si>
    <t>WO-0101</t>
  </si>
  <si>
    <t>WO-0084</t>
  </si>
  <si>
    <t>WO-0090</t>
  </si>
  <si>
    <t>WO-0019</t>
  </si>
  <si>
    <t>WO-0093</t>
  </si>
  <si>
    <t>WO-0297</t>
  </si>
  <si>
    <t>WO-0146</t>
  </si>
  <si>
    <t>WO-0232</t>
  </si>
  <si>
    <t>WO-0125</t>
  </si>
  <si>
    <t>WO-0151</t>
  </si>
  <si>
    <t>WO-0037</t>
  </si>
  <si>
    <t>WO-0006</t>
  </si>
  <si>
    <t>WO-0035</t>
  </si>
  <si>
    <t>WO-0048</t>
  </si>
  <si>
    <t>WO-0095</t>
  </si>
  <si>
    <t>WO-0179</t>
  </si>
  <si>
    <t>WO-0220</t>
  </si>
  <si>
    <t>WO-0067</t>
  </si>
  <si>
    <t>WO-0202</t>
  </si>
  <si>
    <t>WO-0153</t>
  </si>
  <si>
    <t>WO-0061</t>
  </si>
  <si>
    <t>WO-0264</t>
  </si>
  <si>
    <t>WO-0024</t>
  </si>
  <si>
    <t>WO-0181</t>
  </si>
  <si>
    <t>WO-0286</t>
  </si>
  <si>
    <t>WO-0081</t>
  </si>
  <si>
    <t>WO-0293</t>
  </si>
  <si>
    <t>WO-0274</t>
  </si>
  <si>
    <t>WO-0195</t>
  </si>
  <si>
    <t>WO-0200</t>
  </si>
  <si>
    <t>WO-0064</t>
  </si>
  <si>
    <t>WO-0208</t>
  </si>
  <si>
    <t>WO-0046</t>
  </si>
  <si>
    <t>WO-0012</t>
  </si>
  <si>
    <t>WO-0141</t>
  </si>
  <si>
    <t>WO-0265</t>
  </si>
  <si>
    <t>WO-0145</t>
  </si>
  <si>
    <t>WO-0161</t>
  </si>
  <si>
    <t>Asset_Type</t>
  </si>
  <si>
    <t>Area</t>
  </si>
  <si>
    <t>Criticality</t>
  </si>
  <si>
    <t>Install_Year</t>
  </si>
  <si>
    <t>Centrifugal Pump</t>
  </si>
  <si>
    <t>Production Train A</t>
  </si>
  <si>
    <t>Production Train B</t>
  </si>
  <si>
    <t>Compressor</t>
  </si>
  <si>
    <t>Gas Compression</t>
  </si>
  <si>
    <t>Heat Exchanger</t>
  </si>
  <si>
    <t>Process Area</t>
  </si>
  <si>
    <t>Diesel Generator</t>
  </si>
  <si>
    <t>Utilities</t>
  </si>
  <si>
    <t>Electric Motor</t>
  </si>
  <si>
    <t>Control Valve</t>
  </si>
  <si>
    <t>Cooling Fan</t>
  </si>
  <si>
    <t>Item</t>
  </si>
  <si>
    <t>Details</t>
  </si>
  <si>
    <t>Project</t>
  </si>
  <si>
    <t>Reliability &amp; Maintenance Performance Analysis</t>
  </si>
  <si>
    <t>Business Scenario</t>
  </si>
  <si>
    <t>Executive maintenance analysis for an engineering/oil &amp; gas operations environment.</t>
  </si>
  <si>
    <t>Period</t>
  </si>
  <si>
    <t>2025</t>
  </si>
  <si>
    <t>Records</t>
  </si>
  <si>
    <t>Goal</t>
  </si>
  <si>
    <t>Assess maintenance activity, asset reliability, downtime and priority areas for management attention.</t>
  </si>
  <si>
    <t>Core KPIs</t>
  </si>
  <si>
    <t>Work Orders, Maintenance Cost, Downtime, MTTR, MTBF, Availability</t>
  </si>
  <si>
    <t>Maintenance_Cost_Per_Labour_Hour</t>
  </si>
  <si>
    <t>Operating_Days_Per_Year</t>
  </si>
  <si>
    <t>Hours_Per_Day</t>
  </si>
  <si>
    <t>Annual_Planned_Hours</t>
  </si>
  <si>
    <t>Annual Planned Hours</t>
  </si>
  <si>
    <t>Total Downtime</t>
  </si>
  <si>
    <t>Operating Hours</t>
  </si>
  <si>
    <t>Total Failures</t>
  </si>
  <si>
    <t>MTBF</t>
  </si>
  <si>
    <t>MTTR</t>
  </si>
  <si>
    <t>Availability</t>
  </si>
  <si>
    <t>Total Work Orders</t>
  </si>
  <si>
    <t>Total Maintenance Cost</t>
  </si>
  <si>
    <t>Overall Maintenace Performance</t>
  </si>
  <si>
    <t>Which assets are most/least reliable?</t>
  </si>
  <si>
    <t>Grand Total</t>
  </si>
  <si>
    <t>Where is Downtime concentrated?</t>
  </si>
  <si>
    <t>What type of maintenance dominates?</t>
  </si>
  <si>
    <t>Which failure modes matter most?</t>
  </si>
  <si>
    <t>How is maintenance performing over time</t>
  </si>
  <si>
    <t>January</t>
  </si>
  <si>
    <t>February</t>
  </si>
  <si>
    <t>March</t>
  </si>
  <si>
    <t>April</t>
  </si>
  <si>
    <t>May</t>
  </si>
  <si>
    <t>June</t>
  </si>
  <si>
    <t>July</t>
  </si>
  <si>
    <t>August</t>
  </si>
  <si>
    <t>September</t>
  </si>
  <si>
    <t>October</t>
  </si>
  <si>
    <t>November</t>
  </si>
  <si>
    <t>December</t>
  </si>
  <si>
    <t>Which assets are costing the most?</t>
  </si>
  <si>
    <t>Month</t>
  </si>
  <si>
    <t>Asset ID</t>
  </si>
  <si>
    <t>Failure Mode</t>
  </si>
  <si>
    <t>Maintenance Type</t>
  </si>
  <si>
    <t>CHARTS</t>
  </si>
  <si>
    <t>`</t>
  </si>
  <si>
    <t>Maintenance Cost</t>
  </si>
  <si>
    <t>Total Downtime (Hrs)</t>
  </si>
  <si>
    <t>NORMAL</t>
  </si>
  <si>
    <t>HIGH</t>
  </si>
  <si>
    <t>MTTR (Hrs)</t>
  </si>
  <si>
    <t>MTBF (Hrs)</t>
  </si>
  <si>
    <t>RELIABILITY &amp; MAINTENANCE PERFORMANCE | ENGINEERING OPERATIONS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</si>
</sst>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
    <numFmt numFmtId="167" formatCode="0.0%;\-0.0%;0.0%"/>
    <numFmt numFmtId="168" formatCode="\$#,##0.00;\(\$#,##0.00\);\$#,##0.00"/>
  </numFmts>
  <fonts count="9">
    <font>
      <sz val="11"/>
      <color theme="1"/>
      <name val="Calibri"/>
      <family val="2"/>
      <scheme val="minor"/>
    </font>
    <font>
      <b/>
      <sz val="11"/>
      <name val="Calibri"/>
    </font>
    <font>
      <b/>
      <sz val="11"/>
      <name val="Calibri"/>
      <family val="2"/>
    </font>
    <font>
      <b/>
      <sz val="11"/>
      <color theme="0"/>
      <name val="Calibri"/>
      <family val="2"/>
      <scheme val="minor"/>
    </font>
    <font>
      <b/>
      <sz val="11"/>
      <color theme="1"/>
      <name val="Calibri"/>
      <family val="2"/>
      <scheme val="minor"/>
    </font>
    <font>
      <sz val="10"/>
      <color theme="1"/>
      <name val="Arial Unicode MS"/>
    </font>
    <font>
      <b/>
      <sz val="16"/>
      <color theme="1"/>
      <name val="Calibri"/>
      <family val="2"/>
      <scheme val="minor"/>
    </font>
    <font>
      <b/>
      <sz val="10"/>
      <color theme="0"/>
      <name val="Calibri"/>
      <family val="2"/>
      <scheme val="minor"/>
    </font>
    <font>
      <sz val="10"/>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2"/>
        <bgColor indexed="64"/>
      </patternFill>
    </fill>
    <fill>
      <patternFill patternType="solid">
        <fgColor rgb="FF00206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0" borderId="0" xfId="0" applyAlignment="1">
      <alignment horizontal="left"/>
    </xf>
    <xf numFmtId="0" fontId="1" fillId="0" borderId="2" xfId="0" applyFont="1" applyBorder="1" applyAlignment="1">
      <alignment horizontal="center" vertical="top"/>
    </xf>
    <xf numFmtId="0" fontId="2"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0" fillId="0" borderId="0" xfId="0" applyAlignment="1">
      <alignment horizontal="right" vertical="center" wrapText="1"/>
    </xf>
    <xf numFmtId="3" fontId="0" fillId="0" borderId="0" xfId="0" applyNumberFormat="1" applyAlignment="1">
      <alignment horizontal="right" vertical="center" wrapText="1"/>
    </xf>
    <xf numFmtId="0" fontId="4" fillId="0" borderId="0" xfId="0" applyFont="1" applyAlignment="1">
      <alignment horizontal="center" vertical="center"/>
    </xf>
    <xf numFmtId="1" fontId="0" fillId="0" borderId="0" xfId="0" applyNumberFormat="1"/>
    <xf numFmtId="0" fontId="0" fillId="0" borderId="0" xfId="0" pivotButton="1"/>
    <xf numFmtId="0" fontId="3" fillId="2" borderId="0" xfId="0" applyFont="1" applyFill="1" applyAlignment="1">
      <alignment horizontal="center"/>
    </xf>
    <xf numFmtId="165" fontId="0" fillId="0" borderId="0" xfId="0" applyNumberFormat="1"/>
    <xf numFmtId="0" fontId="0" fillId="4" borderId="0" xfId="0" applyFill="1"/>
    <xf numFmtId="167" fontId="0" fillId="0" borderId="0" xfId="0" applyNumberFormat="1"/>
    <xf numFmtId="0" fontId="6" fillId="3" borderId="0" xfId="0" applyFont="1" applyFill="1" applyAlignment="1">
      <alignment horizontal="center" vertical="center"/>
    </xf>
    <xf numFmtId="0" fontId="3" fillId="2" borderId="0" xfId="0" applyFont="1" applyFill="1" applyAlignment="1">
      <alignment horizontal="center"/>
    </xf>
    <xf numFmtId="2" fontId="7" fillId="4" borderId="0" xfId="0" applyNumberFormat="1" applyFont="1" applyFill="1" applyBorder="1" applyAlignment="1">
      <alignment horizontal="center"/>
    </xf>
    <xf numFmtId="0" fontId="8" fillId="4" borderId="0" xfId="0" applyNumberFormat="1" applyFont="1" applyFill="1" applyBorder="1" applyAlignment="1">
      <alignment horizontal="center"/>
    </xf>
    <xf numFmtId="0" fontId="7" fillId="4" borderId="0" xfId="0" applyFont="1" applyFill="1" applyBorder="1" applyAlignment="1">
      <alignment horizontal="center"/>
    </xf>
    <xf numFmtId="167" fontId="7" fillId="4" borderId="0" xfId="0" applyNumberFormat="1" applyFont="1" applyFill="1" applyBorder="1" applyAlignment="1">
      <alignment horizontal="center"/>
    </xf>
    <xf numFmtId="1" fontId="7" fillId="4" borderId="0" xfId="0" applyNumberFormat="1" applyFont="1" applyFill="1" applyBorder="1" applyAlignment="1">
      <alignment horizontal="center"/>
    </xf>
    <xf numFmtId="168" fontId="0" fillId="0" borderId="0" xfId="0" applyNumberFormat="1"/>
  </cellXfs>
  <cellStyles count="1">
    <cellStyle name="Normal" xfId="0" builtinId="0"/>
  </cellStyles>
  <dxfs count="230">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border>
        <top style="thin">
          <color indexed="64"/>
        </top>
        <horizontal style="thin">
          <color indexed="64"/>
        </horizontal>
      </border>
    </dxf>
    <dxf>
      <border>
        <top style="thin">
          <color indexed="64"/>
        </top>
        <horizontal style="thin">
          <color indexed="64"/>
        </horizontal>
      </border>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ont>
        <b/>
      </font>
    </dxf>
    <dxf>
      <font>
        <b/>
      </font>
    </dxf>
    <dxf>
      <font>
        <b val="0"/>
        <i val="0"/>
        <strike val="0"/>
        <condense val="0"/>
        <extend val="0"/>
        <outline val="0"/>
        <shadow val="0"/>
        <u val="none"/>
        <vertAlign val="baseline"/>
        <sz val="11"/>
        <color theme="1"/>
        <name val="Calibri"/>
        <family val="2"/>
        <scheme val="minor"/>
      </font>
      <numFmt numFmtId="0" formatCode="General"/>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font>
        <b/>
        <sz val="10"/>
      </font>
      <numFmt numFmtId="2" formatCode="0.00"/>
      <fill>
        <patternFill patternType="solid">
          <fgColor indexed="64"/>
          <bgColor theme="4" tint="0.79998168889431442"/>
        </patternFill>
      </fill>
    </dxf>
    <dxf>
      <font>
        <b/>
        <sz val="10"/>
      </font>
      <numFmt numFmtId="2" formatCode="0.00"/>
      <fill>
        <patternFill patternType="solid">
          <fgColor indexed="64"/>
          <bgColor theme="4" tint="0.79998168889431442"/>
        </patternFill>
      </fill>
    </dxf>
    <dxf>
      <font>
        <color auto="1"/>
      </font>
    </dxf>
    <dxf>
      <fill>
        <patternFill>
          <bgColor theme="2" tint="-9.9978637043366805E-2"/>
        </patternFill>
      </fill>
    </dxf>
    <dxf>
      <fill>
        <patternFill>
          <bgColor theme="2" tint="-9.9978637043366805E-2"/>
        </patternFill>
      </fill>
    </dxf>
    <dxf>
      <font>
        <color theme="1"/>
      </font>
    </dxf>
    <dxf>
      <font>
        <color theme="1"/>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numFmt numFmtId="1" formatCode="0"/>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border>
        <top style="thin">
          <color indexed="64"/>
        </top>
        <horizontal style="thin">
          <color indexed="64"/>
        </horizontal>
      </border>
    </dxf>
    <dxf>
      <border>
        <top style="thin">
          <color indexed="64"/>
        </top>
        <horizontal style="thin">
          <color indexed="64"/>
        </horizontal>
      </border>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ont>
        <b/>
      </font>
    </dxf>
    <dxf>
      <font>
        <b/>
      </font>
    </dxf>
    <dxf>
      <font>
        <b val="0"/>
        <i val="0"/>
        <strike val="0"/>
        <condense val="0"/>
        <extend val="0"/>
        <outline val="0"/>
        <shadow val="0"/>
        <u val="none"/>
        <vertAlign val="baseline"/>
        <sz val="11"/>
        <color theme="1"/>
        <name val="Calibri"/>
        <family val="2"/>
        <scheme val="minor"/>
      </font>
      <numFmt numFmtId="0" formatCode="General"/>
    </dxf>
    <dxf>
      <font>
        <b/>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font>
        <b/>
        <sz val="10"/>
      </font>
      <numFmt numFmtId="2" formatCode="0.00"/>
      <fill>
        <patternFill patternType="solid">
          <fgColor indexed="64"/>
          <bgColor theme="4" tint="0.79998168889431442"/>
        </patternFill>
      </fill>
    </dxf>
    <dxf>
      <font>
        <b/>
        <sz val="10"/>
      </font>
      <numFmt numFmtId="2" formatCode="0.00"/>
      <fill>
        <patternFill patternType="solid">
          <fgColor indexed="64"/>
          <bgColor theme="4" tint="0.79998168889431442"/>
        </patternFill>
      </fill>
    </dxf>
    <dxf>
      <font>
        <color auto="1"/>
      </font>
    </dxf>
    <dxf>
      <fill>
        <patternFill>
          <bgColor theme="2" tint="-9.9978637043366805E-2"/>
        </patternFill>
      </fill>
    </dxf>
    <dxf>
      <fill>
        <patternFill>
          <bgColor theme="2" tint="-9.9978637043366805E-2"/>
        </patternFill>
      </fill>
    </dxf>
    <dxf>
      <font>
        <color theme="1"/>
      </font>
    </dxf>
    <dxf>
      <font>
        <color theme="1"/>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numFmt numFmtId="1" formatCode="0"/>
    </dxf>
    <dxf>
      <numFmt numFmtId="1" formatCode="0"/>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center" vertical="center" textRotation="0" wrapText="1" indent="0" justifyLastLine="0" shrinkToFit="0" readingOrder="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1"/>
      </font>
    </dxf>
    <dxf>
      <font>
        <color theme="1"/>
      </font>
    </dxf>
    <dxf>
      <fill>
        <patternFill>
          <bgColor theme="2" tint="-9.9978637043366805E-2"/>
        </patternFill>
      </fill>
    </dxf>
    <dxf>
      <fill>
        <patternFill>
          <bgColor theme="2" tint="-9.9978637043366805E-2"/>
        </patternFill>
      </fill>
    </dxf>
    <dxf>
      <font>
        <color auto="1"/>
      </font>
    </dxf>
    <dxf>
      <font>
        <b/>
        <sz val="10"/>
      </font>
      <numFmt numFmtId="2" formatCode="0.00"/>
      <fill>
        <patternFill patternType="solid">
          <fgColor indexed="64"/>
          <bgColor theme="4" tint="0.79998168889431442"/>
        </patternFill>
      </fill>
    </dxf>
    <dxf>
      <font>
        <b/>
        <sz val="10"/>
      </font>
      <numFmt numFmtId="2" formatCode="0.00"/>
      <fill>
        <patternFill patternType="solid">
          <fgColor indexed="64"/>
          <bgColor theme="4" tint="0.79998168889431442"/>
        </patternFill>
      </fill>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ont>
    </dxf>
    <dxf>
      <font>
        <b val="0"/>
        <i val="0"/>
        <strike val="0"/>
        <condense val="0"/>
        <extend val="0"/>
        <outline val="0"/>
        <shadow val="0"/>
        <u val="none"/>
        <vertAlign val="baseline"/>
        <sz val="11"/>
        <color theme="1"/>
        <name val="Calibri"/>
        <family val="2"/>
        <scheme val="minor"/>
      </font>
      <numFmt numFmtId="0" formatCode="General"/>
    </dxf>
    <dxf>
      <font>
        <b/>
      </font>
    </dxf>
    <dxf>
      <font>
        <b/>
      </font>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border>
        <top style="thin">
          <color indexed="64"/>
        </top>
        <horizontal style="thin">
          <color indexed="64"/>
        </horizontal>
      </border>
    </dxf>
    <dxf>
      <border>
        <top style="thin">
          <color indexed="64"/>
        </top>
        <horizontal style="thin">
          <color indexed="64"/>
        </horizontal>
      </border>
    </dxf>
    <dxf>
      <numFmt numFmtId="2" formatCode="0.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patternFill>
      </fill>
    </dxf>
    <dxf>
      <fill>
        <patternFill>
          <bgColor rgb="FFC00000"/>
        </patternFill>
      </fill>
    </dxf>
    <dxf>
      <fill>
        <patternFill>
          <bgColor rgb="FF00B050"/>
        </patternFill>
      </fill>
    </dxf>
    <dxf>
      <fill>
        <patternFill>
          <bgColor rgb="FFC00000"/>
        </patternFill>
      </fill>
    </dxf>
    <dxf>
      <fill>
        <patternFill>
          <bgColor rgb="FF92D050"/>
        </patternFill>
      </fill>
    </dxf>
    <dxf>
      <fill>
        <patternFill>
          <bgColor rgb="FF00B050"/>
        </patternFill>
      </fill>
    </dxf>
  </dxfs>
  <tableStyles count="0" defaultTableStyle="TableStyleMedium9" defaultPivotStyle="PivotStyleLight16"/>
  <colors>
    <mruColors>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[Reliability_Maintenance_Project_2.xlsx]Pivot Analysis!PivotTable8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Maintenance Activity</a:t>
            </a:r>
          </a:p>
        </c:rich>
      </c:tx>
      <c:layout>
        <c:manualLayout>
          <c:xMode val="edge"/>
          <c:yMode val="edge"/>
          <c:x val="0.1417183363290801"/>
          <c:y val="4.83486025302579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0B050"/>
          </a:solidFill>
          <a:ln w="19050">
            <a:solidFill>
              <a:schemeClr val="lt1"/>
            </a:solidFill>
          </a:ln>
          <a:effectLst/>
        </c:spPr>
      </c:pivotFmt>
    </c:pivotFmts>
    <c:plotArea>
      <c:layout>
        <c:manualLayout>
          <c:layoutTarget val="inner"/>
          <c:xMode val="edge"/>
          <c:yMode val="edge"/>
          <c:x val="0.20921318709299008"/>
          <c:y val="0.2044798011619007"/>
          <c:w val="0.52783112031675206"/>
          <c:h val="0.60926757561143774"/>
        </c:manualLayout>
      </c:layout>
      <c:doughnutChart>
        <c:varyColors val="1"/>
        <c:ser>
          <c:idx val="0"/>
          <c:order val="0"/>
          <c:tx>
            <c:strRef>
              <c:f>'Pivot Analysis'!$O$3</c:f>
              <c:strCache>
                <c:ptCount val="1"/>
                <c:pt idx="0">
                  <c:v>Total</c:v>
                </c:pt>
              </c:strCache>
            </c:strRef>
          </c:tx>
          <c:dPt>
            <c:idx val="0"/>
            <c:bubble3D val="0"/>
            <c:spPr>
              <a:solidFill>
                <a:srgbClr val="C00000"/>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rgbClr val="00B05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Analysis'!$N$4:$N$7</c:f>
              <c:strCache>
                <c:ptCount val="3"/>
                <c:pt idx="0">
                  <c:v>Breakdown</c:v>
                </c:pt>
                <c:pt idx="1">
                  <c:v>Corrective</c:v>
                </c:pt>
                <c:pt idx="2">
                  <c:v>Preventive</c:v>
                </c:pt>
              </c:strCache>
            </c:strRef>
          </c:cat>
          <c:val>
            <c:numRef>
              <c:f>'Pivot Analysis'!$O$4:$O$7</c:f>
              <c:numCache>
                <c:formatCode>0</c:formatCode>
                <c:ptCount val="3"/>
                <c:pt idx="0">
                  <c:v>53</c:v>
                </c:pt>
                <c:pt idx="1">
                  <c:v>95</c:v>
                </c:pt>
                <c:pt idx="2">
                  <c:v>152</c:v>
                </c:pt>
              </c:numCache>
            </c:numRef>
          </c:val>
          <c:extLst>
            <c:ext xmlns:c16="http://schemas.microsoft.com/office/drawing/2014/chart" uri="{C3380CC4-5D6E-409C-BE32-E72D297353CC}">
              <c16:uniqueId val="{00000006-1FD9-448A-82FE-AC2F910C2404}"/>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[Reliability_Maintenance_Project_2.xlsx]Pivot Analysis!PivotTable11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Failure Mode by Frequency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33199881703536"/>
          <c:y val="0.15716554581680331"/>
          <c:w val="0.68104045943847968"/>
          <c:h val="0.78128867262446278"/>
        </c:manualLayout>
      </c:layout>
      <c:barChart>
        <c:barDir val="bar"/>
        <c:grouping val="clustered"/>
        <c:varyColors val="0"/>
        <c:ser>
          <c:idx val="0"/>
          <c:order val="0"/>
          <c:tx>
            <c:strRef>
              <c:f>'Pivot Analysis'!$R$3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Analysis'!$Q$4:$Q$11</c:f>
              <c:strCache>
                <c:ptCount val="7"/>
                <c:pt idx="0">
                  <c:v>Overheating</c:v>
                </c:pt>
                <c:pt idx="1">
                  <c:v>Mechanical Seal</c:v>
                </c:pt>
                <c:pt idx="2">
                  <c:v>Vibration</c:v>
                </c:pt>
                <c:pt idx="3">
                  <c:v>Leakage</c:v>
                </c:pt>
                <c:pt idx="4">
                  <c:v>Electrical Fault</c:v>
                </c:pt>
                <c:pt idx="5">
                  <c:v>Control Failure</c:v>
                </c:pt>
                <c:pt idx="6">
                  <c:v>Bearing Failure</c:v>
                </c:pt>
              </c:strCache>
            </c:strRef>
          </c:cat>
          <c:val>
            <c:numRef>
              <c:f>'Pivot Analysis'!$R$4:$R$11</c:f>
              <c:numCache>
                <c:formatCode>0</c:formatCode>
                <c:ptCount val="7"/>
                <c:pt idx="0">
                  <c:v>17</c:v>
                </c:pt>
                <c:pt idx="1">
                  <c:v>18</c:v>
                </c:pt>
                <c:pt idx="2">
                  <c:v>22</c:v>
                </c:pt>
                <c:pt idx="3">
                  <c:v>24</c:v>
                </c:pt>
                <c:pt idx="4">
                  <c:v>24</c:v>
                </c:pt>
                <c:pt idx="5">
                  <c:v>24</c:v>
                </c:pt>
                <c:pt idx="6">
                  <c:v>25</c:v>
                </c:pt>
              </c:numCache>
            </c:numRef>
          </c:val>
          <c:extLst>
            <c:ext xmlns:c16="http://schemas.microsoft.com/office/drawing/2014/chart" uri="{C3380CC4-5D6E-409C-BE32-E72D297353CC}">
              <c16:uniqueId val="{00000008-0989-45DF-B1B2-7212C25937AA}"/>
            </c:ext>
          </c:extLst>
        </c:ser>
        <c:dLbls>
          <c:dLblPos val="outEnd"/>
          <c:showLegendKey val="0"/>
          <c:showVal val="1"/>
          <c:showCatName val="0"/>
          <c:showSerName val="0"/>
          <c:showPercent val="0"/>
          <c:showBubbleSize val="0"/>
        </c:dLbls>
        <c:gapWidth val="54"/>
        <c:axId val="1619090399"/>
        <c:axId val="991593295"/>
      </c:barChart>
      <c:catAx>
        <c:axId val="161909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1593295"/>
        <c:crosses val="autoZero"/>
        <c:auto val="1"/>
        <c:lblAlgn val="ctr"/>
        <c:lblOffset val="100"/>
        <c:noMultiLvlLbl val="0"/>
      </c:catAx>
      <c:valAx>
        <c:axId val="991593295"/>
        <c:scaling>
          <c:orientation val="minMax"/>
        </c:scaling>
        <c:delete val="1"/>
        <c:axPos val="b"/>
        <c:numFmt formatCode="0" sourceLinked="1"/>
        <c:majorTickMark val="none"/>
        <c:minorTickMark val="none"/>
        <c:tickLblPos val="nextTo"/>
        <c:crossAx val="161909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[Reliability_Maintenance_Project_2.xlsx]Pivot Analysis!PivotTable9</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Downtime Contributors by Asset 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Analysis'!$O$9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Analysis'!$N$10:$N$22</c:f>
              <c:strCache>
                <c:ptCount val="12"/>
                <c:pt idx="0">
                  <c:v>AST-003</c:v>
                </c:pt>
                <c:pt idx="1">
                  <c:v>AST-004</c:v>
                </c:pt>
                <c:pt idx="2">
                  <c:v>AST-002</c:v>
                </c:pt>
                <c:pt idx="3">
                  <c:v>AST-001</c:v>
                </c:pt>
                <c:pt idx="4">
                  <c:v>AST-010</c:v>
                </c:pt>
                <c:pt idx="5">
                  <c:v>AST-011</c:v>
                </c:pt>
                <c:pt idx="6">
                  <c:v>AST-012</c:v>
                </c:pt>
                <c:pt idx="7">
                  <c:v>AST-009</c:v>
                </c:pt>
                <c:pt idx="8">
                  <c:v>AST-007</c:v>
                </c:pt>
                <c:pt idx="9">
                  <c:v>AST-008</c:v>
                </c:pt>
                <c:pt idx="10">
                  <c:v>AST-006</c:v>
                </c:pt>
                <c:pt idx="11">
                  <c:v>AST-005</c:v>
                </c:pt>
              </c:strCache>
            </c:strRef>
          </c:cat>
          <c:val>
            <c:numRef>
              <c:f>'Pivot Analysis'!$O$10:$O$22</c:f>
              <c:numCache>
                <c:formatCode>0.0</c:formatCode>
                <c:ptCount val="12"/>
                <c:pt idx="0">
                  <c:v>148.05000000000001</c:v>
                </c:pt>
                <c:pt idx="1">
                  <c:v>101.92</c:v>
                </c:pt>
                <c:pt idx="2">
                  <c:v>95.9</c:v>
                </c:pt>
                <c:pt idx="3">
                  <c:v>73.36</c:v>
                </c:pt>
                <c:pt idx="4">
                  <c:v>63.44</c:v>
                </c:pt>
                <c:pt idx="5">
                  <c:v>55.26</c:v>
                </c:pt>
                <c:pt idx="6">
                  <c:v>54.56</c:v>
                </c:pt>
                <c:pt idx="7">
                  <c:v>50.76</c:v>
                </c:pt>
                <c:pt idx="8">
                  <c:v>44.91</c:v>
                </c:pt>
                <c:pt idx="9">
                  <c:v>43</c:v>
                </c:pt>
                <c:pt idx="10">
                  <c:v>33.479999999999997</c:v>
                </c:pt>
                <c:pt idx="11">
                  <c:v>28.89</c:v>
                </c:pt>
              </c:numCache>
            </c:numRef>
          </c:val>
          <c:extLst>
            <c:ext xmlns:c16="http://schemas.microsoft.com/office/drawing/2014/chart" uri="{C3380CC4-5D6E-409C-BE32-E72D297353CC}">
              <c16:uniqueId val="{00000000-9DF2-4CA1-8021-472C7D70E26B}"/>
            </c:ext>
          </c:extLst>
        </c:ser>
        <c:dLbls>
          <c:dLblPos val="outEnd"/>
          <c:showLegendKey val="0"/>
          <c:showVal val="1"/>
          <c:showCatName val="0"/>
          <c:showSerName val="0"/>
          <c:showPercent val="0"/>
          <c:showBubbleSize val="0"/>
        </c:dLbls>
        <c:gapWidth val="54"/>
        <c:overlap val="-27"/>
        <c:axId val="1619094111"/>
        <c:axId val="991523695"/>
      </c:barChart>
      <c:catAx>
        <c:axId val="16190941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1523695"/>
        <c:crosses val="autoZero"/>
        <c:auto val="1"/>
        <c:lblAlgn val="ctr"/>
        <c:lblOffset val="100"/>
        <c:noMultiLvlLbl val="0"/>
      </c:catAx>
      <c:valAx>
        <c:axId val="991523695"/>
        <c:scaling>
          <c:orientation val="minMax"/>
        </c:scaling>
        <c:delete val="1"/>
        <c:axPos val="l"/>
        <c:numFmt formatCode="0.0" sourceLinked="1"/>
        <c:majorTickMark val="none"/>
        <c:minorTickMark val="none"/>
        <c:tickLblPos val="nextTo"/>
        <c:crossAx val="161909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[Reliability_Maintenance_Project_2.xlsx]Pivot Analysis!PivotTable7</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Maintenance Cost by Asset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6249418764075"/>
          <c:y val="0.15990879671244757"/>
          <c:w val="0.75619830862766524"/>
          <c:h val="0.7749820948244438"/>
        </c:manualLayout>
      </c:layout>
      <c:barChart>
        <c:barDir val="bar"/>
        <c:grouping val="clustered"/>
        <c:varyColors val="0"/>
        <c:ser>
          <c:idx val="0"/>
          <c:order val="0"/>
          <c:tx>
            <c:strRef>
              <c:f>'Pivot Analysis'!$L$25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Analysis'!$K$26:$K$38</c:f>
              <c:strCache>
                <c:ptCount val="12"/>
                <c:pt idx="0">
                  <c:v>AST-005</c:v>
                </c:pt>
                <c:pt idx="1">
                  <c:v>AST-011</c:v>
                </c:pt>
                <c:pt idx="2">
                  <c:v>AST-007</c:v>
                </c:pt>
                <c:pt idx="3">
                  <c:v>AST-012</c:v>
                </c:pt>
                <c:pt idx="4">
                  <c:v>AST-006</c:v>
                </c:pt>
                <c:pt idx="5">
                  <c:v>AST-008</c:v>
                </c:pt>
                <c:pt idx="6">
                  <c:v>AST-009</c:v>
                </c:pt>
                <c:pt idx="7">
                  <c:v>AST-010</c:v>
                </c:pt>
                <c:pt idx="8">
                  <c:v>AST-001</c:v>
                </c:pt>
                <c:pt idx="9">
                  <c:v>AST-004</c:v>
                </c:pt>
                <c:pt idx="10">
                  <c:v>AST-002</c:v>
                </c:pt>
                <c:pt idx="11">
                  <c:v>AST-003</c:v>
                </c:pt>
              </c:strCache>
            </c:strRef>
          </c:cat>
          <c:val>
            <c:numRef>
              <c:f>'Pivot Analysis'!$L$26:$L$38</c:f>
              <c:numCache>
                <c:formatCode>\$#,##0.00;\(\$#,##0.00\);\$#,##0.00</c:formatCode>
                <c:ptCount val="12"/>
                <c:pt idx="0">
                  <c:v>8793.09</c:v>
                </c:pt>
                <c:pt idx="1">
                  <c:v>13442.85</c:v>
                </c:pt>
                <c:pt idx="2">
                  <c:v>13769.33</c:v>
                </c:pt>
                <c:pt idx="3">
                  <c:v>14898.42</c:v>
                </c:pt>
                <c:pt idx="4">
                  <c:v>15251.23</c:v>
                </c:pt>
                <c:pt idx="5">
                  <c:v>15322.01</c:v>
                </c:pt>
                <c:pt idx="6">
                  <c:v>15514.54</c:v>
                </c:pt>
                <c:pt idx="7">
                  <c:v>20255.939999999999</c:v>
                </c:pt>
                <c:pt idx="8">
                  <c:v>20324.400000000001</c:v>
                </c:pt>
                <c:pt idx="9">
                  <c:v>23909.98</c:v>
                </c:pt>
                <c:pt idx="10">
                  <c:v>26243.52</c:v>
                </c:pt>
                <c:pt idx="11">
                  <c:v>31222.92</c:v>
                </c:pt>
              </c:numCache>
            </c:numRef>
          </c:val>
          <c:extLst>
            <c:ext xmlns:c16="http://schemas.microsoft.com/office/drawing/2014/chart" uri="{C3380CC4-5D6E-409C-BE32-E72D297353CC}">
              <c16:uniqueId val="{00000000-FEB3-49D0-8181-4D5C5CD78109}"/>
            </c:ext>
          </c:extLst>
        </c:ser>
        <c:dLbls>
          <c:dLblPos val="outEnd"/>
          <c:showLegendKey val="0"/>
          <c:showVal val="1"/>
          <c:showCatName val="0"/>
          <c:showSerName val="0"/>
          <c:showPercent val="0"/>
          <c:showBubbleSize val="0"/>
        </c:dLbls>
        <c:gapWidth val="54"/>
        <c:axId val="1611326224"/>
        <c:axId val="1042157616"/>
      </c:barChart>
      <c:catAx>
        <c:axId val="161132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42157616"/>
        <c:crosses val="autoZero"/>
        <c:auto val="1"/>
        <c:lblAlgn val="ctr"/>
        <c:lblOffset val="100"/>
        <c:noMultiLvlLbl val="0"/>
      </c:catAx>
      <c:valAx>
        <c:axId val="1042157616"/>
        <c:scaling>
          <c:orientation val="minMax"/>
        </c:scaling>
        <c:delete val="1"/>
        <c:axPos val="b"/>
        <c:numFmt formatCode="\$#,##0.00;\(\$#,##0.00\);\$#,##0.00" sourceLinked="1"/>
        <c:majorTickMark val="none"/>
        <c:minorTickMark val="none"/>
        <c:tickLblPos val="nextTo"/>
        <c:crossAx val="161132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gradFill>
    <a:ln w="317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753</xdr:colOff>
      <xdr:row>17</xdr:row>
      <xdr:rowOff>170447</xdr:rowOff>
    </xdr:from>
    <xdr:to>
      <xdr:col>17</xdr:col>
      <xdr:colOff>9525</xdr:colOff>
      <xdr:row>31</xdr:row>
      <xdr:rowOff>49609</xdr:rowOff>
    </xdr:to>
    <xdr:sp macro="" textlink="">
      <xdr:nvSpPr>
        <xdr:cNvPr id="34" name="Rectangle 33">
          <a:extLst>
            <a:ext uri="{FF2B5EF4-FFF2-40B4-BE49-F238E27FC236}">
              <a16:creationId xmlns:a16="http://schemas.microsoft.com/office/drawing/2014/main" id="{B5D39F39-3AC6-C6FD-781A-6F56ADF42B13}"/>
            </a:ext>
          </a:extLst>
        </xdr:cNvPr>
        <xdr:cNvSpPr/>
      </xdr:nvSpPr>
      <xdr:spPr>
        <a:xfrm>
          <a:off x="6172159" y="3424822"/>
          <a:ext cx="3719554" cy="2518381"/>
        </a:xfrm>
        <a:prstGeom prst="rect">
          <a:avLst/>
        </a:prstGeom>
        <a:noFill/>
        <a:ln>
          <a:solidFill>
            <a:schemeClr val="bg2"/>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555625</xdr:colOff>
      <xdr:row>5</xdr:row>
      <xdr:rowOff>99741</xdr:rowOff>
    </xdr:from>
    <xdr:to>
      <xdr:col>15</xdr:col>
      <xdr:colOff>396</xdr:colOff>
      <xdr:row>17</xdr:row>
      <xdr:rowOff>143722</xdr:rowOff>
    </xdr:to>
    <xdr:graphicFrame macro="">
      <xdr:nvGraphicFramePr>
        <xdr:cNvPr id="2" name="Chart 1">
          <a:extLst>
            <a:ext uri="{FF2B5EF4-FFF2-40B4-BE49-F238E27FC236}">
              <a16:creationId xmlns:a16="http://schemas.microsoft.com/office/drawing/2014/main" id="{98C2FBA2-F7AC-49D7-ABBE-17A149067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79375</xdr:colOff>
      <xdr:row>5</xdr:row>
      <xdr:rowOff>99741</xdr:rowOff>
    </xdr:from>
    <xdr:to>
      <xdr:col>20</xdr:col>
      <xdr:colOff>337342</xdr:colOff>
      <xdr:row>17</xdr:row>
      <xdr:rowOff>107409</xdr:rowOff>
    </xdr:to>
    <xdr:graphicFrame macro="">
      <xdr:nvGraphicFramePr>
        <xdr:cNvPr id="3" name="Chart 2">
          <a:extLst>
            <a:ext uri="{FF2B5EF4-FFF2-40B4-BE49-F238E27FC236}">
              <a16:creationId xmlns:a16="http://schemas.microsoft.com/office/drawing/2014/main" id="{5AB9CDDD-2E50-42F9-B6D1-E678F535B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685290</xdr:colOff>
      <xdr:row>18</xdr:row>
      <xdr:rowOff>30328</xdr:rowOff>
    </xdr:from>
    <xdr:to>
      <xdr:col>10</xdr:col>
      <xdr:colOff>506015</xdr:colOff>
      <xdr:row>31</xdr:row>
      <xdr:rowOff>49609</xdr:rowOff>
    </xdr:to>
    <xdr:graphicFrame macro="">
      <xdr:nvGraphicFramePr>
        <xdr:cNvPr id="4" name="Chart 3">
          <a:extLst>
            <a:ext uri="{FF2B5EF4-FFF2-40B4-BE49-F238E27FC236}">
              <a16:creationId xmlns:a16="http://schemas.microsoft.com/office/drawing/2014/main" id="{95D5F8FD-BF57-4103-81C0-5AD33F0CF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34483</xdr:colOff>
      <xdr:row>11</xdr:row>
      <xdr:rowOff>134846</xdr:rowOff>
    </xdr:from>
    <xdr:to>
      <xdr:col>3</xdr:col>
      <xdr:colOff>627112</xdr:colOff>
      <xdr:row>17</xdr:row>
      <xdr:rowOff>138906</xdr:rowOff>
    </xdr:to>
    <mc:AlternateContent xmlns:mc="http://schemas.openxmlformats.org/markup-compatibility/2006" xmlns:a14="http://schemas.microsoft.com/office/drawing/2010/main">
      <mc:Choice Requires="a14">
        <xdr:graphicFrame macro="">
          <xdr:nvGraphicFramePr>
            <xdr:cNvPr id="11" name="Asset_ID">
              <a:extLst>
                <a:ext uri="{FF2B5EF4-FFF2-40B4-BE49-F238E27FC236}">
                  <a16:creationId xmlns:a16="http://schemas.microsoft.com/office/drawing/2014/main" id="{33FC7A43-DDBA-42F6-8070-BF0C2F4BD20A}"/>
                </a:ext>
              </a:extLst>
            </xdr:cNvPr>
            <xdr:cNvGraphicFramePr/>
          </xdr:nvGraphicFramePr>
          <xdr:xfrm>
            <a:off x="0" y="0"/>
            <a:ext cx="0" cy="0"/>
          </xdr:xfrm>
          <a:graphic>
            <a:graphicData uri="http://schemas.microsoft.com/office/drawing/2010/slicer">
              <sle:slicer xmlns:sle="http://schemas.microsoft.com/office/drawing/2010/slicer" name="Asset_ID"/>
            </a:graphicData>
          </a:graphic>
        </xdr:graphicFrame>
      </mc:Choice>
      <mc:Fallback xmlns="">
        <xdr:sp macro="" textlink="">
          <xdr:nvSpPr>
            <xdr:cNvPr id="0" name=""/>
            <xdr:cNvSpPr>
              <a:spLocks noTextEdit="1"/>
            </xdr:cNvSpPr>
          </xdr:nvSpPr>
          <xdr:spPr>
            <a:xfrm>
              <a:off x="729014" y="2158909"/>
              <a:ext cx="1197864" cy="1076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29817</xdr:colOff>
      <xdr:row>17</xdr:row>
      <xdr:rowOff>158751</xdr:rowOff>
    </xdr:from>
    <xdr:to>
      <xdr:col>3</xdr:col>
      <xdr:colOff>622446</xdr:colOff>
      <xdr:row>25</xdr:row>
      <xdr:rowOff>0</xdr:rowOff>
    </xdr:to>
    <mc:AlternateContent xmlns:mc="http://schemas.openxmlformats.org/markup-compatibility/2006" xmlns:a14="http://schemas.microsoft.com/office/drawing/2010/main">
      <mc:Choice Requires="a14">
        <xdr:graphicFrame macro="">
          <xdr:nvGraphicFramePr>
            <xdr:cNvPr id="12" name="Priority">
              <a:extLst>
                <a:ext uri="{FF2B5EF4-FFF2-40B4-BE49-F238E27FC236}">
                  <a16:creationId xmlns:a16="http://schemas.microsoft.com/office/drawing/2014/main" id="{3D3E815A-C2AE-4AF8-9D26-68E8B859EFCC}"/>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724348" y="3194326"/>
              <a:ext cx="1197864" cy="1409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32105</xdr:colOff>
      <xdr:row>5</xdr:row>
      <xdr:rowOff>116158</xdr:rowOff>
    </xdr:from>
    <xdr:to>
      <xdr:col>3</xdr:col>
      <xdr:colOff>628795</xdr:colOff>
      <xdr:row>11</xdr:row>
      <xdr:rowOff>110293</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B79FC6CC-CAA8-40FF-BA1E-23543345AC7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105" y="1178947"/>
              <a:ext cx="1208296" cy="1137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31687</xdr:colOff>
      <xdr:row>25</xdr:row>
      <xdr:rowOff>16205</xdr:rowOff>
    </xdr:from>
    <xdr:to>
      <xdr:col>3</xdr:col>
      <xdr:colOff>624316</xdr:colOff>
      <xdr:row>31</xdr:row>
      <xdr:rowOff>39687</xdr:rowOff>
    </xdr:to>
    <mc:AlternateContent xmlns:mc="http://schemas.openxmlformats.org/markup-compatibility/2006" xmlns:a14="http://schemas.microsoft.com/office/drawing/2010/main">
      <mc:Choice Requires="a14">
        <xdr:graphicFrame macro="">
          <xdr:nvGraphicFramePr>
            <xdr:cNvPr id="14" name="Maintenance_Type">
              <a:extLst>
                <a:ext uri="{FF2B5EF4-FFF2-40B4-BE49-F238E27FC236}">
                  <a16:creationId xmlns:a16="http://schemas.microsoft.com/office/drawing/2014/main" id="{76E56065-AC54-41EC-8CDC-A477DB4EFD27}"/>
                </a:ext>
              </a:extLst>
            </xdr:cNvPr>
            <xdr:cNvGraphicFramePr/>
          </xdr:nvGraphicFramePr>
          <xdr:xfrm>
            <a:off x="0" y="0"/>
            <a:ext cx="0" cy="0"/>
          </xdr:xfrm>
          <a:graphic>
            <a:graphicData uri="http://schemas.microsoft.com/office/drawing/2010/slicer">
              <sle:slicer xmlns:sle="http://schemas.microsoft.com/office/drawing/2010/slicer" name="Maintenance_Type"/>
            </a:graphicData>
          </a:graphic>
        </xdr:graphicFrame>
      </mc:Choice>
      <mc:Fallback xmlns="">
        <xdr:sp macro="" textlink="">
          <xdr:nvSpPr>
            <xdr:cNvPr id="0" name=""/>
            <xdr:cNvSpPr>
              <a:spLocks noTextEdit="1"/>
            </xdr:cNvSpPr>
          </xdr:nvSpPr>
          <xdr:spPr>
            <a:xfrm>
              <a:off x="726218" y="4540580"/>
              <a:ext cx="1197864" cy="1154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681788</xdr:colOff>
      <xdr:row>5</xdr:row>
      <xdr:rowOff>99741</xdr:rowOff>
    </xdr:from>
    <xdr:to>
      <xdr:col>10</xdr:col>
      <xdr:colOff>486170</xdr:colOff>
      <xdr:row>18</xdr:row>
      <xdr:rowOff>1858</xdr:rowOff>
    </xdr:to>
    <xdr:graphicFrame macro="">
      <xdr:nvGraphicFramePr>
        <xdr:cNvPr id="5" name="Chart 4">
          <a:extLst>
            <a:ext uri="{FF2B5EF4-FFF2-40B4-BE49-F238E27FC236}">
              <a16:creationId xmlns:a16="http://schemas.microsoft.com/office/drawing/2014/main" id="{41BB2CB6-7C51-4413-BED1-FAA5D8601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60157</xdr:colOff>
      <xdr:row>1</xdr:row>
      <xdr:rowOff>28073</xdr:rowOff>
    </xdr:from>
    <xdr:to>
      <xdr:col>20</xdr:col>
      <xdr:colOff>313043</xdr:colOff>
      <xdr:row>5</xdr:row>
      <xdr:rowOff>78205</xdr:rowOff>
    </xdr:to>
    <xdr:grpSp>
      <xdr:nvGrpSpPr>
        <xdr:cNvPr id="39" name="Group 38">
          <a:extLst>
            <a:ext uri="{FF2B5EF4-FFF2-40B4-BE49-F238E27FC236}">
              <a16:creationId xmlns:a16="http://schemas.microsoft.com/office/drawing/2014/main" id="{6D21AF06-F105-0560-9026-67622C4DE715}"/>
            </a:ext>
          </a:extLst>
        </xdr:cNvPr>
        <xdr:cNvGrpSpPr/>
      </xdr:nvGrpSpPr>
      <xdr:grpSpPr>
        <a:xfrm>
          <a:off x="754688" y="266198"/>
          <a:ext cx="11256246" cy="804195"/>
          <a:chOff x="754688" y="265195"/>
          <a:chExt cx="11256246" cy="806200"/>
        </a:xfrm>
      </xdr:grpSpPr>
      <xdr:grpSp>
        <xdr:nvGrpSpPr>
          <xdr:cNvPr id="36" name="Group 35">
            <a:extLst>
              <a:ext uri="{FF2B5EF4-FFF2-40B4-BE49-F238E27FC236}">
                <a16:creationId xmlns:a16="http://schemas.microsoft.com/office/drawing/2014/main" id="{3C95C229-4AF2-0F85-124D-C075CB57E6D6}"/>
              </a:ext>
            </a:extLst>
          </xdr:cNvPr>
          <xdr:cNvGrpSpPr/>
        </xdr:nvGrpSpPr>
        <xdr:grpSpPr>
          <a:xfrm>
            <a:off x="754688" y="266198"/>
            <a:ext cx="1825041" cy="804195"/>
            <a:chOff x="754688" y="265195"/>
            <a:chExt cx="1825041" cy="804195"/>
          </a:xfrm>
        </xdr:grpSpPr>
        <xdr:sp macro="" textlink="">
          <xdr:nvSpPr>
            <xdr:cNvPr id="6" name="Rectangle: Rounded Corners 5">
              <a:extLst>
                <a:ext uri="{FF2B5EF4-FFF2-40B4-BE49-F238E27FC236}">
                  <a16:creationId xmlns:a16="http://schemas.microsoft.com/office/drawing/2014/main" id="{6DE073EC-E74C-C8CF-D830-9D00EE47983D}"/>
                </a:ext>
              </a:extLst>
            </xdr:cNvPr>
            <xdr:cNvSpPr/>
          </xdr:nvSpPr>
          <xdr:spPr>
            <a:xfrm>
              <a:off x="754688" y="265195"/>
              <a:ext cx="1825041"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Pivot Analysis'!A3">
          <xdr:nvSpPr>
            <xdr:cNvPr id="7" name="TextBox 6">
              <a:extLst>
                <a:ext uri="{FF2B5EF4-FFF2-40B4-BE49-F238E27FC236}">
                  <a16:creationId xmlns:a16="http://schemas.microsoft.com/office/drawing/2014/main" id="{C3A7ADF1-CBCC-9635-8128-92B61439C951}"/>
                </a:ext>
              </a:extLst>
            </xdr:cNvPr>
            <xdr:cNvSpPr txBox="1"/>
          </xdr:nvSpPr>
          <xdr:spPr>
            <a:xfrm>
              <a:off x="801580" y="398545"/>
              <a:ext cx="1661772" cy="236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FDC313B-53C0-4944-8363-7BC8EA7A424A}" type="TxLink">
                <a:rPr lang="en-US" sz="1200" b="1" i="0" u="none" strike="noStrike">
                  <a:solidFill>
                    <a:srgbClr val="000000"/>
                  </a:solidFill>
                  <a:latin typeface="Calibri"/>
                  <a:ea typeface="Calibri"/>
                  <a:cs typeface="Calibri"/>
                </a:rPr>
                <a:pPr marL="0" indent="0" algn="ctr"/>
                <a:t>Total Work Orders</a:t>
              </a:fld>
              <a:endParaRPr lang="en-US" sz="1200" b="1" i="0" u="none" strike="noStrike">
                <a:solidFill>
                  <a:srgbClr val="000000"/>
                </a:solidFill>
                <a:latin typeface="Calibri"/>
                <a:ea typeface="Calibri"/>
                <a:cs typeface="Calibri"/>
              </a:endParaRPr>
            </a:p>
          </xdr:txBody>
        </xdr:sp>
        <xdr:sp macro="" textlink="'Pivot Analysis'!A4">
          <xdr:nvSpPr>
            <xdr:cNvPr id="8" name="TextBox 7">
              <a:extLst>
                <a:ext uri="{FF2B5EF4-FFF2-40B4-BE49-F238E27FC236}">
                  <a16:creationId xmlns:a16="http://schemas.microsoft.com/office/drawing/2014/main" id="{24DB82A7-97C1-66EA-00F5-B975C68A2AA3}"/>
                </a:ext>
              </a:extLst>
            </xdr:cNvPr>
            <xdr:cNvSpPr txBox="1"/>
          </xdr:nvSpPr>
          <xdr:spPr>
            <a:xfrm>
              <a:off x="1286702" y="694364"/>
              <a:ext cx="1178313" cy="3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5611C6-FFB6-43B4-9DEF-A9EC07B7892C}" type="TxLink">
                <a:rPr lang="en-US" sz="1800" b="1" i="0" u="none" strike="noStrike">
                  <a:solidFill>
                    <a:sysClr val="windowText" lastClr="000000"/>
                  </a:solidFill>
                  <a:latin typeface="Calibri"/>
                  <a:ea typeface="Calibri"/>
                  <a:cs typeface="Calibri"/>
                </a:rPr>
                <a:pPr marL="0" indent="0" algn="ctr"/>
                <a:t>300</a:t>
              </a:fld>
              <a:endParaRPr lang="en-US" sz="1800" b="1" i="0" u="none" strike="noStrike">
                <a:solidFill>
                  <a:sysClr val="windowText" lastClr="000000"/>
                </a:solidFill>
                <a:latin typeface="Calibri"/>
                <a:ea typeface="Calibri"/>
                <a:cs typeface="Calibri"/>
              </a:endParaRPr>
            </a:p>
          </xdr:txBody>
        </xdr:sp>
      </xdr:grpSp>
      <xdr:grpSp>
        <xdr:nvGrpSpPr>
          <xdr:cNvPr id="35" name="Group 34">
            <a:extLst>
              <a:ext uri="{FF2B5EF4-FFF2-40B4-BE49-F238E27FC236}">
                <a16:creationId xmlns:a16="http://schemas.microsoft.com/office/drawing/2014/main" id="{DE016F12-9108-528B-CF14-EA30C27C7D79}"/>
              </a:ext>
            </a:extLst>
          </xdr:cNvPr>
          <xdr:cNvGrpSpPr/>
        </xdr:nvGrpSpPr>
        <xdr:grpSpPr>
          <a:xfrm>
            <a:off x="2657627" y="266198"/>
            <a:ext cx="1828800" cy="804195"/>
            <a:chOff x="2627861" y="265195"/>
            <a:chExt cx="1828800" cy="804195"/>
          </a:xfrm>
        </xdr:grpSpPr>
        <xdr:sp macro="" textlink="">
          <xdr:nvSpPr>
            <xdr:cNvPr id="15" name="Rectangle: Rounded Corners 14">
              <a:extLst>
                <a:ext uri="{FF2B5EF4-FFF2-40B4-BE49-F238E27FC236}">
                  <a16:creationId xmlns:a16="http://schemas.microsoft.com/office/drawing/2014/main" id="{948E2013-5892-CA11-E98F-05C868962D1E}"/>
                </a:ext>
              </a:extLst>
            </xdr:cNvPr>
            <xdr:cNvSpPr/>
          </xdr:nvSpPr>
          <xdr:spPr>
            <a:xfrm>
              <a:off x="2627861" y="265195"/>
              <a:ext cx="1828800"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Pivot Analysis'!B3">
          <xdr:nvSpPr>
            <xdr:cNvPr id="16" name="TextBox 15">
              <a:extLst>
                <a:ext uri="{FF2B5EF4-FFF2-40B4-BE49-F238E27FC236}">
                  <a16:creationId xmlns:a16="http://schemas.microsoft.com/office/drawing/2014/main" id="{A8BB6F16-3719-8AF1-FE13-C154668083DD}"/>
                </a:ext>
              </a:extLst>
            </xdr:cNvPr>
            <xdr:cNvSpPr txBox="1"/>
          </xdr:nvSpPr>
          <xdr:spPr>
            <a:xfrm>
              <a:off x="2744673" y="405564"/>
              <a:ext cx="1526228" cy="2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834301-4424-4752-BEBD-F04C969BE151}" type="TxLink">
                <a:rPr lang="en-US" sz="1200" b="1" i="0" u="none" strike="noStrike">
                  <a:solidFill>
                    <a:srgbClr val="000000"/>
                  </a:solidFill>
                  <a:latin typeface="Calibri"/>
                  <a:ea typeface="Calibri"/>
                  <a:cs typeface="Calibri"/>
                </a:rPr>
                <a:pPr algn="ctr"/>
                <a:t>Maintenance Cost</a:t>
              </a:fld>
              <a:endParaRPr lang="en-US" sz="1200" b="1"/>
            </a:p>
          </xdr:txBody>
        </xdr:sp>
        <xdr:sp macro="" textlink="'Pivot Analysis'!B4">
          <xdr:nvSpPr>
            <xdr:cNvPr id="17" name="TextBox 16">
              <a:extLst>
                <a:ext uri="{FF2B5EF4-FFF2-40B4-BE49-F238E27FC236}">
                  <a16:creationId xmlns:a16="http://schemas.microsoft.com/office/drawing/2014/main" id="{7594C810-DC68-0A60-8255-3AFB50AF4FC4}"/>
                </a:ext>
              </a:extLst>
            </xdr:cNvPr>
            <xdr:cNvSpPr txBox="1"/>
          </xdr:nvSpPr>
          <xdr:spPr>
            <a:xfrm>
              <a:off x="2855513" y="684338"/>
              <a:ext cx="1417078" cy="3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851F96-AC20-4A72-B205-72F31EA2305F}" type="TxLink">
                <a:rPr lang="en-US" sz="1800" b="1" i="0" u="none" strike="noStrike">
                  <a:solidFill>
                    <a:schemeClr val="tx1"/>
                  </a:solidFill>
                  <a:latin typeface="Calibri"/>
                  <a:ea typeface="Calibri"/>
                  <a:cs typeface="Calibri"/>
                </a:rPr>
                <a:pPr algn="ctr"/>
                <a:t>$218,948.23</a:t>
              </a:fld>
              <a:endParaRPr lang="en-US" sz="1800" b="1">
                <a:solidFill>
                  <a:schemeClr val="tx1"/>
                </a:solidFill>
              </a:endParaRPr>
            </a:p>
          </xdr:txBody>
        </xdr:sp>
      </xdr:grpSp>
      <xdr:grpSp>
        <xdr:nvGrpSpPr>
          <xdr:cNvPr id="22" name="Group 21">
            <a:extLst>
              <a:ext uri="{FF2B5EF4-FFF2-40B4-BE49-F238E27FC236}">
                <a16:creationId xmlns:a16="http://schemas.microsoft.com/office/drawing/2014/main" id="{21FB49E6-F93F-4F95-20C8-CC471DB393A0}"/>
              </a:ext>
            </a:extLst>
          </xdr:cNvPr>
          <xdr:cNvGrpSpPr/>
        </xdr:nvGrpSpPr>
        <xdr:grpSpPr>
          <a:xfrm>
            <a:off x="4524896" y="266198"/>
            <a:ext cx="1828800" cy="804195"/>
            <a:chOff x="4326456" y="265195"/>
            <a:chExt cx="1885000" cy="804195"/>
          </a:xfrm>
        </xdr:grpSpPr>
        <xdr:sp macro="" textlink="">
          <xdr:nvSpPr>
            <xdr:cNvPr id="19" name="Rectangle: Rounded Corners 18">
              <a:extLst>
                <a:ext uri="{FF2B5EF4-FFF2-40B4-BE49-F238E27FC236}">
                  <a16:creationId xmlns:a16="http://schemas.microsoft.com/office/drawing/2014/main" id="{6A85A052-6AF9-BC57-3A15-7293EABBEB34}"/>
                </a:ext>
              </a:extLst>
            </xdr:cNvPr>
            <xdr:cNvSpPr/>
          </xdr:nvSpPr>
          <xdr:spPr>
            <a:xfrm>
              <a:off x="4354170" y="265195"/>
              <a:ext cx="1828800"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Pivot Analysis'!C3">
          <xdr:nvSpPr>
            <xdr:cNvPr id="20" name="TextBox 19">
              <a:extLst>
                <a:ext uri="{FF2B5EF4-FFF2-40B4-BE49-F238E27FC236}">
                  <a16:creationId xmlns:a16="http://schemas.microsoft.com/office/drawing/2014/main" id="{AF20F824-2C60-937E-DB78-21D4F310572A}"/>
                </a:ext>
              </a:extLst>
            </xdr:cNvPr>
            <xdr:cNvSpPr txBox="1"/>
          </xdr:nvSpPr>
          <xdr:spPr>
            <a:xfrm>
              <a:off x="4326456" y="368466"/>
              <a:ext cx="1885000" cy="32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F575-754C-4869-9AFF-47FF832DD7B1}" type="TxLink">
                <a:rPr lang="en-US" sz="1200" b="1" i="0" u="none" strike="noStrike">
                  <a:solidFill>
                    <a:srgbClr val="000000"/>
                  </a:solidFill>
                  <a:latin typeface="Calibri"/>
                  <a:ea typeface="Calibri"/>
                  <a:cs typeface="Calibri"/>
                </a:rPr>
                <a:pPr algn="ctr"/>
                <a:t>Total Downtime (Hrs)</a:t>
              </a:fld>
              <a:endParaRPr lang="en-US" sz="1400" b="1"/>
            </a:p>
          </xdr:txBody>
        </xdr:sp>
        <xdr:sp macro="" textlink="'Pivot Analysis'!C4">
          <xdr:nvSpPr>
            <xdr:cNvPr id="21" name="TextBox 20">
              <a:extLst>
                <a:ext uri="{FF2B5EF4-FFF2-40B4-BE49-F238E27FC236}">
                  <a16:creationId xmlns:a16="http://schemas.microsoft.com/office/drawing/2014/main" id="{948EA107-2A30-039E-83B5-CFDED216BE90}"/>
                </a:ext>
              </a:extLst>
            </xdr:cNvPr>
            <xdr:cNvSpPr txBox="1"/>
          </xdr:nvSpPr>
          <xdr:spPr>
            <a:xfrm>
              <a:off x="4866573" y="684338"/>
              <a:ext cx="1240714" cy="31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32068C-2CFB-40DB-9F53-C801982D9151}" type="TxLink">
                <a:rPr lang="en-US" sz="2000" b="1" i="0" u="none" strike="noStrike">
                  <a:solidFill>
                    <a:srgbClr val="C00000"/>
                  </a:solidFill>
                  <a:latin typeface="Calibri"/>
                  <a:ea typeface="Calibri"/>
                  <a:cs typeface="Calibri"/>
                </a:rPr>
                <a:pPr algn="ctr"/>
                <a:t>793.5</a:t>
              </a:fld>
              <a:endParaRPr lang="en-US" sz="1100" b="1">
                <a:solidFill>
                  <a:srgbClr val="C00000"/>
                </a:solidFill>
              </a:endParaRPr>
            </a:p>
          </xdr:txBody>
        </xdr:sp>
      </xdr:grpSp>
      <xdr:grpSp>
        <xdr:nvGrpSpPr>
          <xdr:cNvPr id="26" name="Group 25">
            <a:extLst>
              <a:ext uri="{FF2B5EF4-FFF2-40B4-BE49-F238E27FC236}">
                <a16:creationId xmlns:a16="http://schemas.microsoft.com/office/drawing/2014/main" id="{BCC85258-942A-D5E2-AC50-D1CF9723BC39}"/>
              </a:ext>
            </a:extLst>
          </xdr:cNvPr>
          <xdr:cNvGrpSpPr/>
        </xdr:nvGrpSpPr>
        <xdr:grpSpPr>
          <a:xfrm>
            <a:off x="6386723" y="266198"/>
            <a:ext cx="1828800" cy="804195"/>
            <a:chOff x="6446256" y="265195"/>
            <a:chExt cx="1828800" cy="804195"/>
          </a:xfrm>
        </xdr:grpSpPr>
        <xdr:sp macro="" textlink="">
          <xdr:nvSpPr>
            <xdr:cNvPr id="23" name="Rectangle: Rounded Corners 22">
              <a:extLst>
                <a:ext uri="{FF2B5EF4-FFF2-40B4-BE49-F238E27FC236}">
                  <a16:creationId xmlns:a16="http://schemas.microsoft.com/office/drawing/2014/main" id="{E7B17060-524C-D5C9-09A0-DE9CF2A9C5C6}"/>
                </a:ext>
              </a:extLst>
            </xdr:cNvPr>
            <xdr:cNvSpPr/>
          </xdr:nvSpPr>
          <xdr:spPr>
            <a:xfrm>
              <a:off x="6446256" y="265195"/>
              <a:ext cx="1828800"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Pivot Analysis'!D3">
          <xdr:nvSpPr>
            <xdr:cNvPr id="24" name="TextBox 23">
              <a:extLst>
                <a:ext uri="{FF2B5EF4-FFF2-40B4-BE49-F238E27FC236}">
                  <a16:creationId xmlns:a16="http://schemas.microsoft.com/office/drawing/2014/main" id="{C73BFAAC-C081-93FF-0271-CBE938E5816A}"/>
                </a:ext>
              </a:extLst>
            </xdr:cNvPr>
            <xdr:cNvSpPr txBox="1"/>
          </xdr:nvSpPr>
          <xdr:spPr>
            <a:xfrm>
              <a:off x="6704863" y="405564"/>
              <a:ext cx="1270103" cy="2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CCEE61-7441-4A63-B98A-76ADABAF06C0}" type="TxLink">
                <a:rPr lang="en-US" sz="1200" b="1" i="0" u="none" strike="noStrike">
                  <a:solidFill>
                    <a:srgbClr val="000000"/>
                  </a:solidFill>
                  <a:latin typeface="Calibri"/>
                  <a:ea typeface="Calibri"/>
                  <a:cs typeface="Calibri"/>
                </a:rPr>
                <a:pPr algn="ctr"/>
                <a:t>MTTR (Hrs)</a:t>
              </a:fld>
              <a:endParaRPr lang="en-US" sz="1400" b="1"/>
            </a:p>
          </xdr:txBody>
        </xdr:sp>
        <xdr:sp macro="" textlink="'Pivot Analysis'!D4">
          <xdr:nvSpPr>
            <xdr:cNvPr id="25" name="TextBox 24">
              <a:extLst>
                <a:ext uri="{FF2B5EF4-FFF2-40B4-BE49-F238E27FC236}">
                  <a16:creationId xmlns:a16="http://schemas.microsoft.com/office/drawing/2014/main" id="{C864048D-5CF3-A465-77B8-D162501792EA}"/>
                </a:ext>
              </a:extLst>
            </xdr:cNvPr>
            <xdr:cNvSpPr txBox="1"/>
          </xdr:nvSpPr>
          <xdr:spPr>
            <a:xfrm>
              <a:off x="6908504" y="664286"/>
              <a:ext cx="1155043" cy="316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D3D350-DA13-483A-BC83-12001CF4EB0F}" type="TxLink">
                <a:rPr lang="en-US" sz="2000" b="1" i="0" u="none" strike="noStrike">
                  <a:solidFill>
                    <a:sysClr val="windowText" lastClr="000000"/>
                  </a:solidFill>
                  <a:latin typeface="Calibri"/>
                  <a:ea typeface="Calibri"/>
                  <a:cs typeface="Calibri"/>
                </a:rPr>
                <a:pPr algn="ctr"/>
                <a:t>5.82</a:t>
              </a:fld>
              <a:endParaRPr lang="en-US" sz="2000" b="1">
                <a:solidFill>
                  <a:sysClr val="windowText" lastClr="000000"/>
                </a:solidFill>
              </a:endParaRPr>
            </a:p>
          </xdr:txBody>
        </xdr:sp>
      </xdr:grpSp>
      <xdr:grpSp>
        <xdr:nvGrpSpPr>
          <xdr:cNvPr id="37" name="Group 36">
            <a:extLst>
              <a:ext uri="{FF2B5EF4-FFF2-40B4-BE49-F238E27FC236}">
                <a16:creationId xmlns:a16="http://schemas.microsoft.com/office/drawing/2014/main" id="{387B6EAA-DC15-FB2C-57EC-073FE2E4D6DD}"/>
              </a:ext>
            </a:extLst>
          </xdr:cNvPr>
          <xdr:cNvGrpSpPr/>
        </xdr:nvGrpSpPr>
        <xdr:grpSpPr>
          <a:xfrm>
            <a:off x="8294456" y="266198"/>
            <a:ext cx="1828800" cy="804195"/>
            <a:chOff x="8304378" y="265195"/>
            <a:chExt cx="1828800" cy="804195"/>
          </a:xfrm>
        </xdr:grpSpPr>
        <xdr:sp macro="" textlink="">
          <xdr:nvSpPr>
            <xdr:cNvPr id="27" name="Rectangle: Rounded Corners 26">
              <a:extLst>
                <a:ext uri="{FF2B5EF4-FFF2-40B4-BE49-F238E27FC236}">
                  <a16:creationId xmlns:a16="http://schemas.microsoft.com/office/drawing/2014/main" id="{A40A0478-FA39-9DC5-E545-39BB8838819C}"/>
                </a:ext>
              </a:extLst>
            </xdr:cNvPr>
            <xdr:cNvSpPr/>
          </xdr:nvSpPr>
          <xdr:spPr>
            <a:xfrm>
              <a:off x="8304378" y="265195"/>
              <a:ext cx="1828800"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Pivot Analysis'!E3">
          <xdr:nvSpPr>
            <xdr:cNvPr id="28" name="TextBox 27">
              <a:extLst>
                <a:ext uri="{FF2B5EF4-FFF2-40B4-BE49-F238E27FC236}">
                  <a16:creationId xmlns:a16="http://schemas.microsoft.com/office/drawing/2014/main" id="{CDE754D4-BCAC-4207-ECCF-5E382D3E1AFF}"/>
                </a:ext>
              </a:extLst>
            </xdr:cNvPr>
            <xdr:cNvSpPr txBox="1"/>
          </xdr:nvSpPr>
          <xdr:spPr>
            <a:xfrm>
              <a:off x="8533616" y="395538"/>
              <a:ext cx="1359003" cy="2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E6975B-DE5D-48AA-9F20-097A9F4CB25E}" type="TxLink">
                <a:rPr lang="en-US" sz="1200" b="1" i="0" u="none" strike="noStrike">
                  <a:solidFill>
                    <a:srgbClr val="000000"/>
                  </a:solidFill>
                  <a:latin typeface="Calibri"/>
                  <a:ea typeface="Calibri"/>
                  <a:cs typeface="Calibri"/>
                </a:rPr>
                <a:pPr algn="ctr"/>
                <a:t>MTBF (Hrs)</a:t>
              </a:fld>
              <a:endParaRPr lang="en-US" sz="1400" b="1"/>
            </a:p>
          </xdr:txBody>
        </xdr:sp>
        <xdr:sp macro="" textlink="'Pivot Analysis'!E4">
          <xdr:nvSpPr>
            <xdr:cNvPr id="29" name="TextBox 28">
              <a:extLst>
                <a:ext uri="{FF2B5EF4-FFF2-40B4-BE49-F238E27FC236}">
                  <a16:creationId xmlns:a16="http://schemas.microsoft.com/office/drawing/2014/main" id="{8DC6B3F8-577E-1062-292F-7F37C966561E}"/>
                </a:ext>
              </a:extLst>
            </xdr:cNvPr>
            <xdr:cNvSpPr txBox="1"/>
          </xdr:nvSpPr>
          <xdr:spPr>
            <a:xfrm>
              <a:off x="8572049" y="674312"/>
              <a:ext cx="1309427" cy="316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70FEEE-E9C1-480E-9165-90524A373FAC}" type="TxLink">
                <a:rPr lang="en-US" sz="2000" b="1" i="0" u="none" strike="noStrike">
                  <a:solidFill>
                    <a:sysClr val="windowText" lastClr="000000"/>
                  </a:solidFill>
                  <a:latin typeface="Calibri"/>
                  <a:ea typeface="Calibri"/>
                  <a:cs typeface="Calibri"/>
                </a:rPr>
                <a:pPr algn="ctr"/>
                <a:t>677.44</a:t>
              </a:fld>
              <a:endParaRPr lang="en-US" sz="2000" b="1">
                <a:solidFill>
                  <a:sysClr val="windowText" lastClr="000000"/>
                </a:solidFill>
              </a:endParaRPr>
            </a:p>
          </xdr:txBody>
        </xdr:sp>
      </xdr:grpSp>
      <xdr:grpSp>
        <xdr:nvGrpSpPr>
          <xdr:cNvPr id="30" name="Group 29">
            <a:extLst>
              <a:ext uri="{FF2B5EF4-FFF2-40B4-BE49-F238E27FC236}">
                <a16:creationId xmlns:a16="http://schemas.microsoft.com/office/drawing/2014/main" id="{32CA9475-14BF-530C-D5FB-97008B23E4BB}"/>
              </a:ext>
            </a:extLst>
          </xdr:cNvPr>
          <xdr:cNvGrpSpPr/>
        </xdr:nvGrpSpPr>
        <xdr:grpSpPr>
          <a:xfrm>
            <a:off x="10182134" y="266198"/>
            <a:ext cx="1828800" cy="804195"/>
            <a:chOff x="10340883" y="267200"/>
            <a:chExt cx="1828800" cy="804195"/>
          </a:xfrm>
        </xdr:grpSpPr>
        <xdr:sp macro="" textlink="">
          <xdr:nvSpPr>
            <xdr:cNvPr id="31" name="Rectangle: Rounded Corners 30">
              <a:extLst>
                <a:ext uri="{FF2B5EF4-FFF2-40B4-BE49-F238E27FC236}">
                  <a16:creationId xmlns:a16="http://schemas.microsoft.com/office/drawing/2014/main" id="{197ACCE2-4DB3-4021-3A6C-3DCC350EAB2C}"/>
                </a:ext>
              </a:extLst>
            </xdr:cNvPr>
            <xdr:cNvSpPr/>
          </xdr:nvSpPr>
          <xdr:spPr>
            <a:xfrm>
              <a:off x="10340883" y="267200"/>
              <a:ext cx="1828800" cy="804195"/>
            </a:xfrm>
            <a:prstGeom prst="roundRect">
              <a:avLst/>
            </a:prstGeom>
            <a:gradFill flip="none" rotWithShape="1">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tileRect t="-100000" r="-100000"/>
            </a:gradFill>
            <a:ln w="3175">
              <a:noFill/>
            </a:ln>
            <a:effectLst>
              <a:innerShdw blurRad="114300">
                <a:prstClr val="black"/>
              </a:innerShdw>
            </a:effectLst>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Pivot Analysis'!F3">
          <xdr:nvSpPr>
            <xdr:cNvPr id="32" name="TextBox 31">
              <a:extLst>
                <a:ext uri="{FF2B5EF4-FFF2-40B4-BE49-F238E27FC236}">
                  <a16:creationId xmlns:a16="http://schemas.microsoft.com/office/drawing/2014/main" id="{9E851A76-587E-CDB6-DC4C-26C6066DCEFF}"/>
                </a:ext>
              </a:extLst>
            </xdr:cNvPr>
            <xdr:cNvSpPr txBox="1"/>
          </xdr:nvSpPr>
          <xdr:spPr>
            <a:xfrm>
              <a:off x="10752811" y="407569"/>
              <a:ext cx="1157411" cy="24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68AB70-6E35-46E9-9A91-ADAB40764EE5}" type="TxLink">
                <a:rPr lang="en-US" sz="1200" b="1" i="0" u="none" strike="noStrike">
                  <a:solidFill>
                    <a:srgbClr val="000000"/>
                  </a:solidFill>
                  <a:latin typeface="Calibri"/>
                  <a:ea typeface="Calibri"/>
                  <a:cs typeface="Calibri"/>
                </a:rPr>
                <a:pPr algn="ctr"/>
                <a:t>Availability</a:t>
              </a:fld>
              <a:endParaRPr lang="en-US" sz="1400" b="1"/>
            </a:p>
          </xdr:txBody>
        </xdr:sp>
        <xdr:sp macro="" textlink="'Pivot Analysis'!F4">
          <xdr:nvSpPr>
            <xdr:cNvPr id="33" name="TextBox 32">
              <a:extLst>
                <a:ext uri="{FF2B5EF4-FFF2-40B4-BE49-F238E27FC236}">
                  <a16:creationId xmlns:a16="http://schemas.microsoft.com/office/drawing/2014/main" id="{10FB4B31-0CD0-F829-2B6C-2F5037A463B2}"/>
                </a:ext>
              </a:extLst>
            </xdr:cNvPr>
            <xdr:cNvSpPr txBox="1"/>
          </xdr:nvSpPr>
          <xdr:spPr>
            <a:xfrm>
              <a:off x="10866423" y="656473"/>
              <a:ext cx="1169330" cy="316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9E96BB-1C2E-4F3E-99E7-613688DF89E6}" type="TxLink">
                <a:rPr lang="en-US" sz="2000" b="1" i="0" u="none" strike="noStrike">
                  <a:solidFill>
                    <a:srgbClr val="00B050"/>
                  </a:solidFill>
                  <a:latin typeface="Calibri"/>
                  <a:ea typeface="Calibri"/>
                  <a:cs typeface="Calibri"/>
                </a:rPr>
                <a:pPr algn="ctr"/>
                <a:t>99.2%</a:t>
              </a:fld>
              <a:endParaRPr lang="en-US" sz="2000" b="1">
                <a:solidFill>
                  <a:srgbClr val="00B050"/>
                </a:solidFill>
              </a:endParaRPr>
            </a:p>
          </xdr:txBody>
        </xdr:sp>
      </xdr:grpSp>
    </xdr:grpSp>
    <xdr:clientData/>
  </xdr:twoCellAnchor>
  <xdr:twoCellAnchor>
    <xdr:from>
      <xdr:col>17</xdr:col>
      <xdr:colOff>59531</xdr:colOff>
      <xdr:row>18</xdr:row>
      <xdr:rowOff>19844</xdr:rowOff>
    </xdr:from>
    <xdr:to>
      <xdr:col>20</xdr:col>
      <xdr:colOff>317500</xdr:colOff>
      <xdr:row>28</xdr:row>
      <xdr:rowOff>178594</xdr:rowOff>
    </xdr:to>
    <xdr:sp macro="" textlink="">
      <xdr:nvSpPr>
        <xdr:cNvPr id="10" name="TextBox 9">
          <a:extLst>
            <a:ext uri="{FF2B5EF4-FFF2-40B4-BE49-F238E27FC236}">
              <a16:creationId xmlns:a16="http://schemas.microsoft.com/office/drawing/2014/main" id="{3B306F30-1787-EC1C-D372-B681FB151835}"/>
            </a:ext>
          </a:extLst>
        </xdr:cNvPr>
        <xdr:cNvSpPr txBox="1"/>
      </xdr:nvSpPr>
      <xdr:spPr>
        <a:xfrm>
          <a:off x="9941719" y="3462735"/>
          <a:ext cx="2073672" cy="2043906"/>
        </a:xfrm>
        <a:prstGeom prst="rect">
          <a:avLst/>
        </a:prstGeom>
        <a:gradFill>
          <a:gsLst>
            <a:gs pos="22000">
              <a:schemeClr val="bg1"/>
            </a:gs>
            <a:gs pos="100000">
              <a:schemeClr val="accent1">
                <a:lumMod val="20000"/>
                <a:lumOff val="80000"/>
              </a:schemeClr>
            </a:gs>
            <a:gs pos="76000">
              <a:schemeClr val="accent3">
                <a:lumMod val="20000"/>
                <a:lumOff val="80000"/>
                <a:shade val="100000"/>
                <a:satMod val="115000"/>
              </a:schemeClr>
            </a:gs>
          </a:gsLst>
          <a:path path="circle">
            <a:fillToRect l="100000" b="100000"/>
          </a:path>
        </a:gra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KEY INSIGHTS</a:t>
          </a:r>
        </a:p>
        <a:p>
          <a:r>
            <a:rPr lang="en-US" sz="1200" b="1"/>
            <a:t>AST-003:</a:t>
          </a:r>
          <a:r>
            <a:rPr lang="en-US" sz="1200"/>
            <a:t> Highest maintenance cost, downtime &amp; failures.</a:t>
          </a:r>
          <a:br>
            <a:rPr lang="en-US" sz="1200"/>
          </a:br>
          <a:r>
            <a:rPr lang="en-US" sz="1200" b="1"/>
            <a:t>AST-004:</a:t>
          </a:r>
          <a:r>
            <a:rPr lang="en-US" sz="1200"/>
            <a:t> High downtime &amp; highest MTTR.</a:t>
          </a:r>
          <a:br>
            <a:rPr lang="en-US" sz="1200"/>
          </a:br>
          <a:r>
            <a:rPr lang="en-US" sz="1200" b="1"/>
            <a:t>Failure concentration:</a:t>
          </a:r>
          <a:r>
            <a:rPr lang="en-US" sz="1200"/>
            <a:t> Leakage, electrical/control faults and bearing failures are the most frequent.</a:t>
          </a:r>
        </a:p>
      </xdr:txBody>
    </xdr:sp>
    <xdr:clientData/>
  </xdr:twoCellAnchor>
  <xdr:twoCellAnchor>
    <xdr:from>
      <xdr:col>11</xdr:col>
      <xdr:colOff>793750</xdr:colOff>
      <xdr:row>10</xdr:row>
      <xdr:rowOff>9921</xdr:rowOff>
    </xdr:from>
    <xdr:to>
      <xdr:col>13</xdr:col>
      <xdr:colOff>128984</xdr:colOff>
      <xdr:row>13</xdr:row>
      <xdr:rowOff>178593</xdr:rowOff>
    </xdr:to>
    <xdr:sp macro="" textlink="'Pivot Analysis'!A4">
      <xdr:nvSpPr>
        <xdr:cNvPr id="9" name="Flowchart: Connector 8">
          <a:extLst>
            <a:ext uri="{FF2B5EF4-FFF2-40B4-BE49-F238E27FC236}">
              <a16:creationId xmlns:a16="http://schemas.microsoft.com/office/drawing/2014/main" id="{F598D42F-8312-EA86-2577-7BD04080E85E}"/>
            </a:ext>
          </a:extLst>
        </xdr:cNvPr>
        <xdr:cNvSpPr/>
      </xdr:nvSpPr>
      <xdr:spPr>
        <a:xfrm>
          <a:off x="6965156" y="1944687"/>
          <a:ext cx="664766" cy="734219"/>
        </a:xfrm>
        <a:prstGeom prst="flowChartConnector">
          <a:avLst/>
        </a:prstGeom>
        <a:noFill/>
        <a:ln>
          <a:no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F90095-1830-4E90-8125-38F03642E6A6}" type="TxLink">
            <a:rPr lang="en-US" sz="1200" b="1" i="0" u="none" strike="noStrike">
              <a:solidFill>
                <a:schemeClr val="tx1"/>
              </a:solidFill>
              <a:latin typeface="Rockwell"/>
            </a:rPr>
            <a:pPr algn="l"/>
            <a:t>300</a:t>
          </a:fld>
          <a:endParaRPr lang="en-US" sz="1200" b="1">
            <a:solidFill>
              <a:schemeClr val="tx1"/>
            </a:solidFill>
          </a:endParaRPr>
        </a:p>
      </xdr:txBody>
    </xdr:sp>
    <xdr:clientData/>
  </xdr:twoCellAnchor>
  <xdr:twoCellAnchor>
    <xdr:from>
      <xdr:col>11</xdr:col>
      <xdr:colOff>684610</xdr:colOff>
      <xdr:row>11</xdr:row>
      <xdr:rowOff>99217</xdr:rowOff>
    </xdr:from>
    <xdr:to>
      <xdr:col>13</xdr:col>
      <xdr:colOff>317500</xdr:colOff>
      <xdr:row>13</xdr:row>
      <xdr:rowOff>59532</xdr:rowOff>
    </xdr:to>
    <xdr:sp macro="" textlink="">
      <xdr:nvSpPr>
        <xdr:cNvPr id="18" name="TextBox 17">
          <a:extLst>
            <a:ext uri="{FF2B5EF4-FFF2-40B4-BE49-F238E27FC236}">
              <a16:creationId xmlns:a16="http://schemas.microsoft.com/office/drawing/2014/main" id="{2660260B-16F9-FF98-5FC0-4C99314158A6}"/>
            </a:ext>
          </a:extLst>
        </xdr:cNvPr>
        <xdr:cNvSpPr txBox="1"/>
      </xdr:nvSpPr>
      <xdr:spPr>
        <a:xfrm>
          <a:off x="6856016" y="2222498"/>
          <a:ext cx="972343" cy="33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Work Orders</a:t>
          </a:r>
          <a:endParaRPr lang="en-US"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4768519" backgroundQuery="1" createdVersion="8" refreshedVersion="8" minRefreshableVersion="3" recordCount="0" supportSubquery="1" supportAdvancedDrill="1" xr:uid="{D6D0132E-9B9C-45F9-B4EF-2C81C733023A}">
  <cacheSource type="external" connectionId="4"/>
  <cacheFields count="5">
    <cacheField name="[Maintenance_Data].[Asset_ID].[Asset_ID]" caption="Asset_ID" numFmtId="0" hierarchy="11" level="1">
      <sharedItems count="12">
        <s v="AST-001"/>
        <s v="AST-002"/>
        <s v="AST-003"/>
        <s v="AST-004"/>
        <s v="AST-005"/>
        <s v="AST-006"/>
        <s v="AST-007"/>
        <s v="AST-008"/>
        <s v="AST-009"/>
        <s v="AST-010"/>
        <s v="AST-011"/>
        <s v="AST-012"/>
      </sharedItems>
      <extLst>
        <ext xmlns:x15="http://schemas.microsoft.com/office/spreadsheetml/2010/11/main" uri="{4F2E5C28-24EA-4eb8-9CBF-B6C8F9C3D259}">
          <x15:cachedUniqueNames>
            <x15:cachedUniqueName index="0" name="[Maintenance_Data].[Asset_ID].&amp;[AST-001]"/>
            <x15:cachedUniqueName index="1" name="[Maintenance_Data].[Asset_ID].&amp;[AST-002]"/>
            <x15:cachedUniqueName index="2" name="[Maintenance_Data].[Asset_ID].&amp;[AST-003]"/>
            <x15:cachedUniqueName index="3" name="[Maintenance_Data].[Asset_ID].&amp;[AST-004]"/>
            <x15:cachedUniqueName index="4" name="[Maintenance_Data].[Asset_ID].&amp;[AST-005]"/>
            <x15:cachedUniqueName index="5" name="[Maintenance_Data].[Asset_ID].&amp;[AST-006]"/>
            <x15:cachedUniqueName index="6" name="[Maintenance_Data].[Asset_ID].&amp;[AST-007]"/>
            <x15:cachedUniqueName index="7" name="[Maintenance_Data].[Asset_ID].&amp;[AST-008]"/>
            <x15:cachedUniqueName index="8" name="[Maintenance_Data].[Asset_ID].&amp;[AST-009]"/>
            <x15:cachedUniqueName index="9" name="[Maintenance_Data].[Asset_ID].&amp;[AST-010]"/>
            <x15:cachedUniqueName index="10" name="[Maintenance_Data].[Asset_ID].&amp;[AST-011]"/>
            <x15:cachedUniqueName index="11" name="[Maintenance_Data].[Asset_ID].&amp;[AST-012]"/>
          </x15:cachedUniqueNames>
        </ext>
      </extLst>
    </cacheField>
    <cacheField name="[Measures].[Total Maintenance Cost]" caption="Total Maintenance Cost" numFmtId="0" hierarchy="26"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fieldsUsage count="2">
        <fieldUsage x="-1"/>
        <fieldUsage x="0"/>
      </fieldsUsage>
    </cacheHierarchy>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oneField="1">
      <fieldsUsage count="1">
        <fieldUsage x="1"/>
      </fieldsUsage>
    </cacheHierarchy>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5115743" backgroundQuery="1" createdVersion="8" refreshedVersion="8" minRefreshableVersion="3" recordCount="0" supportSubquery="1" supportAdvancedDrill="1" xr:uid="{2F842AE3-3E41-4A25-9FFE-54FDA1F18FAE}">
  <cacheSource type="external" connectionId="4"/>
  <cacheFields count="9">
    <cacheField name="[Measures].[Total Work Orders]" caption="Total Work Orders" numFmtId="0" hierarchy="25" level="32767"/>
    <cacheField name="[Measures].[Total Maintenance Cost]" caption="Total Maintenance Cost" numFmtId="0" hierarchy="26" level="32767"/>
    <cacheField name="[Measures].[Total Downtime]" caption="Total Downtime" numFmtId="0" hierarchy="27" level="32767"/>
    <cacheField name="[Measures].[MTTR]" caption="MTTR" numFmtId="0" hierarchy="31" level="32767"/>
    <cacheField name="[Measures].[MTBF]" caption="MTBF" numFmtId="0" hierarchy="36" level="32767"/>
    <cacheField name="[Measures].[Availability]" caption="Availability" numFmtId="0" hierarchy="3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oneField="1">
      <fieldsUsage count="1">
        <fieldUsage x="0"/>
      </fieldsUsage>
    </cacheHierarchy>
    <cacheHierarchy uniqueName="[Measures].[Total Maintenance Cost]" caption="Total Maintenance Cost" measure="1" displayFolder="" measureGroup="A" count="0" oneField="1">
      <fieldsUsage count="1">
        <fieldUsage x="1"/>
      </fieldsUsage>
    </cacheHierarchy>
    <cacheHierarchy uniqueName="[Measures].[Total Downtime]" caption="Total Downtime" measure="1" displayFolder="" measureGroup="A" count="0" oneField="1">
      <fieldsUsage count="1">
        <fieldUsage x="2"/>
      </fieldsUsage>
    </cacheHierarchy>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oneField="1">
      <fieldsUsage count="1">
        <fieldUsage x="3"/>
      </fieldsUsage>
    </cacheHierarchy>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oneField="1">
      <fieldsUsage count="1">
        <fieldUsage x="4"/>
      </fieldsUsage>
    </cacheHierarchy>
    <cacheHierarchy uniqueName="[Measures].[Availability]" caption="Availability" measure="1" displayFolder="" measureGroup="A" count="0" oneField="1">
      <fieldsUsage count="1">
        <fieldUsage x="5"/>
      </fieldsUsage>
    </cacheHierarchy>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5462966" backgroundQuery="1" createdVersion="8" refreshedVersion="8" minRefreshableVersion="3" recordCount="0" supportSubquery="1" supportAdvancedDrill="1" xr:uid="{199BE4D2-848A-4078-8887-273468072826}">
  <cacheSource type="external" connectionId="4"/>
  <cacheFields count="5">
    <cacheField name="[Maintenance_Data].[Failure_Mode].[Failure_Mode]" caption="Failure_Mode" numFmtId="0" hierarchy="13" level="1">
      <sharedItems count="7">
        <s v="Bearing Failure"/>
        <s v="Control Failure"/>
        <s v="Electrical Fault"/>
        <s v="Leakage"/>
        <s v="Mechanical Seal"/>
        <s v="Overheating"/>
        <s v="Vibration"/>
      </sharedItems>
      <extLst>
        <ext xmlns:x15="http://schemas.microsoft.com/office/spreadsheetml/2010/11/main" uri="{4F2E5C28-24EA-4eb8-9CBF-B6C8F9C3D259}">
          <x15:cachedUniqueNames>
            <x15:cachedUniqueName index="0" name="[Maintenance_Data].[Failure_Mode].&amp;[Bearing Failure]"/>
            <x15:cachedUniqueName index="1" name="[Maintenance_Data].[Failure_Mode].&amp;[Control Failure]"/>
            <x15:cachedUniqueName index="2" name="[Maintenance_Data].[Failure_Mode].&amp;[Electrical Fault]"/>
            <x15:cachedUniqueName index="3" name="[Maintenance_Data].[Failure_Mode].&amp;[Leakage]"/>
            <x15:cachedUniqueName index="4" name="[Maintenance_Data].[Failure_Mode].&amp;[Mechanical Seal]"/>
            <x15:cachedUniqueName index="5" name="[Maintenance_Data].[Failure_Mode].&amp;[Overheating]"/>
            <x15:cachedUniqueName index="6" name="[Maintenance_Data].[Failure_Mode].&amp;[Vibration]"/>
          </x15:cachedUniqueNames>
        </ext>
      </extLst>
    </cacheField>
    <cacheField name="[Measures].[Total Failures]" caption="Total Failures" numFmtId="0" hierarchy="2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2" memberValueDatatype="130" unbalanced="0">
      <fieldsUsage count="2">
        <fieldUsage x="-1"/>
        <fieldUsage x="0"/>
      </fieldsUsage>
    </cacheHierarchy>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oneField="1">
      <fieldsUsage count="1">
        <fieldUsage x="1"/>
      </fieldsUsage>
    </cacheHierarchy>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5925928" backgroundQuery="1" createdVersion="8" refreshedVersion="8" minRefreshableVersion="3" recordCount="0" supportSubquery="1" supportAdvancedDrill="1" xr:uid="{32485B49-9BDD-4056-AECF-955D8E5A6892}">
  <cacheSource type="external" connectionId="4"/>
  <cacheFields count="8">
    <cacheField name="[Maintenance_Data].[Asset_ID].[Asset_ID]" caption="Asset_ID" numFmtId="0" hierarchy="11" level="1">
      <sharedItems count="12">
        <s v="AST-001"/>
        <s v="AST-002"/>
        <s v="AST-003"/>
        <s v="AST-004"/>
        <s v="AST-005"/>
        <s v="AST-006"/>
        <s v="AST-007"/>
        <s v="AST-008"/>
        <s v="AST-009"/>
        <s v="AST-010"/>
        <s v="AST-011"/>
        <s v="AST-012"/>
      </sharedItems>
      <extLst>
        <ext xmlns:x15="http://schemas.microsoft.com/office/spreadsheetml/2010/11/main" uri="{4F2E5C28-24EA-4eb8-9CBF-B6C8F9C3D259}">
          <x15:cachedUniqueNames>
            <x15:cachedUniqueName index="0" name="[Maintenance_Data].[Asset_ID].&amp;[AST-001]"/>
            <x15:cachedUniqueName index="1" name="[Maintenance_Data].[Asset_ID].&amp;[AST-002]"/>
            <x15:cachedUniqueName index="2" name="[Maintenance_Data].[Asset_ID].&amp;[AST-003]"/>
            <x15:cachedUniqueName index="3" name="[Maintenance_Data].[Asset_ID].&amp;[AST-004]"/>
            <x15:cachedUniqueName index="4" name="[Maintenance_Data].[Asset_ID].&amp;[AST-005]"/>
            <x15:cachedUniqueName index="5" name="[Maintenance_Data].[Asset_ID].&amp;[AST-006]"/>
            <x15:cachedUniqueName index="6" name="[Maintenance_Data].[Asset_ID].&amp;[AST-007]"/>
            <x15:cachedUniqueName index="7" name="[Maintenance_Data].[Asset_ID].&amp;[AST-008]"/>
            <x15:cachedUniqueName index="8" name="[Maintenance_Data].[Asset_ID].&amp;[AST-009]"/>
            <x15:cachedUniqueName index="9" name="[Maintenance_Data].[Asset_ID].&amp;[AST-010]"/>
            <x15:cachedUniqueName index="10" name="[Maintenance_Data].[Asset_ID].&amp;[AST-011]"/>
            <x15:cachedUniqueName index="11" name="[Maintenance_Data].[Asset_ID].&amp;[AST-012]"/>
          </x15:cachedUniqueNames>
        </ext>
      </extLst>
    </cacheField>
    <cacheField name="[Measures].[MTBF]" caption="MTBF" numFmtId="0" hierarchy="36" level="32767"/>
    <cacheField name="[Measures].[MTTR]" caption="MTTR" numFmtId="0" hierarchy="31" level="32767"/>
    <cacheField name="[Measures].[Availability]" caption="Availability" numFmtId="0" hierarchy="37" level="32767"/>
    <cacheField name="[Measures].[Total Failures]" caption="Total Failures" numFmtId="0" hierarchy="29"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fieldsUsage count="2">
        <fieldUsage x="-1"/>
        <fieldUsage x="0"/>
      </fieldsUsage>
    </cacheHierarchy>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oneField="1">
      <fieldsUsage count="1">
        <fieldUsage x="4"/>
      </fieldsUsage>
    </cacheHierarchy>
    <cacheHierarchy uniqueName="[Measures].[Average Downtime]" caption="Average Downtime" measure="1" displayFolder="" measureGroup="A" count="0"/>
    <cacheHierarchy uniqueName="[Measures].[MTTR]" caption="MTTR" measure="1" displayFolder="" measureGroup="A" count="0" oneField="1">
      <fieldsUsage count="1">
        <fieldUsage x="2"/>
      </fieldsUsage>
    </cacheHierarchy>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oneField="1">
      <fieldsUsage count="1">
        <fieldUsage x="1"/>
      </fieldsUsage>
    </cacheHierarchy>
    <cacheHierarchy uniqueName="[Measures].[Availability]" caption="Availability" measure="1" displayFolder="" measureGroup="A" count="0" oneField="1">
      <fieldsUsage count="1">
        <fieldUsage x="3"/>
      </fieldsUsage>
    </cacheHierarchy>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6273151" backgroundQuery="1" createdVersion="8" refreshedVersion="8" minRefreshableVersion="3" recordCount="0" supportSubquery="1" supportAdvancedDrill="1" xr:uid="{37DDCB47-F7B1-4973-8CF0-D54A231C1375}">
  <cacheSource type="external" connectionId="4"/>
  <cacheFields count="5">
    <cacheField name="[Maintenance_Data].[Asset_ID].[Asset_ID]" caption="Asset_ID" numFmtId="0" hierarchy="11" level="1">
      <sharedItems count="12">
        <s v="AST-001"/>
        <s v="AST-002"/>
        <s v="AST-003"/>
        <s v="AST-004"/>
        <s v="AST-005"/>
        <s v="AST-006"/>
        <s v="AST-007"/>
        <s v="AST-008"/>
        <s v="AST-009"/>
        <s v="AST-010"/>
        <s v="AST-011"/>
        <s v="AST-012"/>
      </sharedItems>
      <extLst>
        <ext xmlns:x15="http://schemas.microsoft.com/office/spreadsheetml/2010/11/main" uri="{4F2E5C28-24EA-4eb8-9CBF-B6C8F9C3D259}">
          <x15:cachedUniqueNames>
            <x15:cachedUniqueName index="0" name="[Maintenance_Data].[Asset_ID].&amp;[AST-001]"/>
            <x15:cachedUniqueName index="1" name="[Maintenance_Data].[Asset_ID].&amp;[AST-002]"/>
            <x15:cachedUniqueName index="2" name="[Maintenance_Data].[Asset_ID].&amp;[AST-003]"/>
            <x15:cachedUniqueName index="3" name="[Maintenance_Data].[Asset_ID].&amp;[AST-004]"/>
            <x15:cachedUniqueName index="4" name="[Maintenance_Data].[Asset_ID].&amp;[AST-005]"/>
            <x15:cachedUniqueName index="5" name="[Maintenance_Data].[Asset_ID].&amp;[AST-006]"/>
            <x15:cachedUniqueName index="6" name="[Maintenance_Data].[Asset_ID].&amp;[AST-007]"/>
            <x15:cachedUniqueName index="7" name="[Maintenance_Data].[Asset_ID].&amp;[AST-008]"/>
            <x15:cachedUniqueName index="8" name="[Maintenance_Data].[Asset_ID].&amp;[AST-009]"/>
            <x15:cachedUniqueName index="9" name="[Maintenance_Data].[Asset_ID].&amp;[AST-010]"/>
            <x15:cachedUniqueName index="10" name="[Maintenance_Data].[Asset_ID].&amp;[AST-011]"/>
            <x15:cachedUniqueName index="11" name="[Maintenance_Data].[Asset_ID].&amp;[AST-012]"/>
          </x15:cachedUniqueNames>
        </ext>
      </extLst>
    </cacheField>
    <cacheField name="[Measures].[Total Downtime]" caption="Total Downtime" numFmtId="0" hierarchy="2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fieldsUsage count="2">
        <fieldUsage x="-1"/>
        <fieldUsage x="0"/>
      </fieldsUsage>
    </cacheHierarchy>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oneField="1">
      <fieldsUsage count="1">
        <fieldUsage x="1"/>
      </fieldsUsage>
    </cacheHierarchy>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6620367" backgroundQuery="1" createdVersion="8" refreshedVersion="8" minRefreshableVersion="3" recordCount="0" supportSubquery="1" supportAdvancedDrill="1" xr:uid="{18B38998-2BEE-4F28-8273-0EE80787B3AF}">
  <cacheSource type="external" connectionId="4"/>
  <cacheFields count="7">
    <cacheField name="[Maintenance_Data].[Maintenance_Type].[Maintenance_Type]" caption="Maintenance_Type" numFmtId="0" hierarchy="12" level="1">
      <sharedItems count="3">
        <s v="Breakdown"/>
        <s v="Corrective"/>
        <s v="Preventive"/>
      </sharedItems>
      <extLst>
        <ext xmlns:x15="http://schemas.microsoft.com/office/spreadsheetml/2010/11/main" uri="{4F2E5C28-24EA-4eb8-9CBF-B6C8F9C3D259}">
          <x15:cachedUniqueNames>
            <x15:cachedUniqueName index="0" name="[Maintenance_Data].[Maintenance_Type].&amp;[Breakdown]"/>
            <x15:cachedUniqueName index="1" name="[Maintenance_Data].[Maintenance_Type].&amp;[Corrective]"/>
            <x15:cachedUniqueName index="2" name="[Maintenance_Data].[Maintenance_Type].&amp;[Preventive]"/>
          </x15:cachedUniqueNames>
        </ext>
      </extLst>
    </cacheField>
    <cacheField name="[Measures].[Total Work Orders]" caption="Total Work Orders" numFmtId="0" hierarchy="25" level="32767"/>
    <cacheField name="[Measures].[Total Maintenance Cost]" caption="Total Maintenance Cost" numFmtId="0" hierarchy="26" level="32767"/>
    <cacheField name="[Measures].[Total Downtime]" caption="Total Downtime" numFmtId="0" hierarchy="2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fieldsUsage count="2">
        <fieldUsage x="-1"/>
        <fieldUsage x="0"/>
      </fieldsUsage>
    </cacheHierarchy>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oneField="1">
      <fieldsUsage count="1">
        <fieldUsage x="1"/>
      </fieldsUsage>
    </cacheHierarchy>
    <cacheHierarchy uniqueName="[Measures].[Total Maintenance Cost]" caption="Total Maintenance Cost" measure="1" displayFolder="" measureGroup="A" count="0" oneField="1">
      <fieldsUsage count="1">
        <fieldUsage x="2"/>
      </fieldsUsage>
    </cacheHierarchy>
    <cacheHierarchy uniqueName="[Measures].[Total Downtime]" caption="Total Downtime" measure="1" displayFolder="" measureGroup="A" count="0" oneField="1">
      <fieldsUsage count="1">
        <fieldUsage x="3"/>
      </fieldsUsage>
    </cacheHierarchy>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7083336" backgroundQuery="1" createdVersion="8" refreshedVersion="8" minRefreshableVersion="3" recordCount="0" supportSubquery="1" supportAdvancedDrill="1" xr:uid="{A3B8E97C-EC57-43E2-8141-757306153FC9}">
  <cacheSource type="external" connectionId="4"/>
  <cacheFields count="7">
    <cacheField name="[Maintenance_Data].[Failure_Mode].[Failure_Mode]" caption="Failure_Mode" numFmtId="0" hierarchy="13" level="1">
      <sharedItems count="11">
        <s v="Bearing Failure"/>
        <s v="Calibration"/>
        <s v="Control Failure"/>
        <s v="Electrical Fault"/>
        <s v="Inspection"/>
        <s v="Leakage"/>
        <s v="Lubrication"/>
        <s v="Mechanical Seal"/>
        <s v="Overheating"/>
        <s v="Scheduled Service"/>
        <s v="Vibration"/>
      </sharedItems>
      <extLst>
        <ext xmlns:x15="http://schemas.microsoft.com/office/spreadsheetml/2010/11/main" uri="{4F2E5C28-24EA-4eb8-9CBF-B6C8F9C3D259}">
          <x15:cachedUniqueNames>
            <x15:cachedUniqueName index="0" name="[Maintenance_Data].[Failure_Mode].&amp;[Bearing Failure]"/>
            <x15:cachedUniqueName index="1" name="[Maintenance_Data].[Failure_Mode].&amp;[Calibration]"/>
            <x15:cachedUniqueName index="2" name="[Maintenance_Data].[Failure_Mode].&amp;[Control Failure]"/>
            <x15:cachedUniqueName index="3" name="[Maintenance_Data].[Failure_Mode].&amp;[Electrical Fault]"/>
            <x15:cachedUniqueName index="4" name="[Maintenance_Data].[Failure_Mode].&amp;[Inspection]"/>
            <x15:cachedUniqueName index="5" name="[Maintenance_Data].[Failure_Mode].&amp;[Leakage]"/>
            <x15:cachedUniqueName index="6" name="[Maintenance_Data].[Failure_Mode].&amp;[Lubrication]"/>
            <x15:cachedUniqueName index="7" name="[Maintenance_Data].[Failure_Mode].&amp;[Mechanical Seal]"/>
            <x15:cachedUniqueName index="8" name="[Maintenance_Data].[Failure_Mode].&amp;[Overheating]"/>
            <x15:cachedUniqueName index="9" name="[Maintenance_Data].[Failure_Mode].&amp;[Scheduled Service]"/>
            <x15:cachedUniqueName index="10" name="[Maintenance_Data].[Failure_Mode].&amp;[Vibration]"/>
          </x15:cachedUniqueNames>
        </ext>
      </extLst>
    </cacheField>
    <cacheField name="[Measures].[Total Failures]" caption="Total Failures" numFmtId="0" hierarchy="29" level="32767"/>
    <cacheField name="[Measures].[Total Downtime]" caption="Total Downtime" numFmtId="0" hierarchy="27" level="32767"/>
    <cacheField name="[Measures].[Total Maintenance Cost]" caption="Total Maintenance Cost" numFmtId="0" hierarchy="26"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2" memberValueDatatype="130" unbalanced="0">
      <fieldsUsage count="2">
        <fieldUsage x="-1"/>
        <fieldUsage x="0"/>
      </fieldsUsage>
    </cacheHierarchy>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oneField="1">
      <fieldsUsage count="1">
        <fieldUsage x="3"/>
      </fieldsUsage>
    </cacheHierarchy>
    <cacheHierarchy uniqueName="[Measures].[Total Downtime]" caption="Total Downtime" measure="1" displayFolder="" measureGroup="A" count="0" oneField="1">
      <fieldsUsage count="1">
        <fieldUsage x="2"/>
      </fieldsUsage>
    </cacheHierarchy>
    <cacheHierarchy uniqueName="[Measures].[Total Labour Hours]" caption="Total Labour Hours" measure="1" displayFolder="" measureGroup="A" count="0"/>
    <cacheHierarchy uniqueName="[Measures].[Total Failures]" caption="Total Failures" measure="1" displayFolder="" measureGroup="A" count="0" oneField="1">
      <fieldsUsage count="1">
        <fieldUsage x="1"/>
      </fieldsUsage>
    </cacheHierarchy>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7430552" backgroundQuery="1" createdVersion="8" refreshedVersion="8" minRefreshableVersion="3" recordCount="0" supportSubquery="1" supportAdvancedDrill="1" xr:uid="{F300F529-0166-4333-A839-A6AE2D63D328}">
  <cacheSource type="external" connectionId="4"/>
  <cacheFields count="8">
    <cacheField name="[Calendar].[Month].[Month]" caption="Month" numFmtId="0" hierarchy="5"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Work Orders]" caption="Total Work Orders" numFmtId="0" hierarchy="25" level="32767"/>
    <cacheField name="[Measures].[Total Maintenance Cost]" caption="Total Maintenance Cost" numFmtId="0" hierarchy="26" level="32767"/>
    <cacheField name="[Measures].[Total Downtime]" caption="Total Downtime" numFmtId="0" hierarchy="27" level="32767"/>
    <cacheField name="[Measures].[MTTR]" caption="MTTR" numFmtId="0" hierarchy="31"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oneField="1">
      <fieldsUsage count="1">
        <fieldUsage x="1"/>
      </fieldsUsage>
    </cacheHierarchy>
    <cacheHierarchy uniqueName="[Measures].[Total Maintenance Cost]" caption="Total Maintenance Cost" measure="1" displayFolder="" measureGroup="A" count="0" oneField="1">
      <fieldsUsage count="1">
        <fieldUsage x="2"/>
      </fieldsUsage>
    </cacheHierarchy>
    <cacheHierarchy uniqueName="[Measures].[Total Downtime]" caption="Total Downtime" measure="1" displayFolder="" measureGroup="A" count="0" oneField="1">
      <fieldsUsage count="1">
        <fieldUsage x="3"/>
      </fieldsUsage>
    </cacheHierarchy>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oneField="1">
      <fieldsUsage count="1">
        <fieldUsage x="4"/>
      </fieldsUsage>
    </cacheHierarchy>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7777775" backgroundQuery="1" createdVersion="8" refreshedVersion="8" minRefreshableVersion="3" recordCount="0" supportSubquery="1" supportAdvancedDrill="1" xr:uid="{715E081E-A179-4BC5-945B-1E315FCEAB21}">
  <cacheSource type="external" connectionId="4"/>
  <cacheFields count="5">
    <cacheField name="[Maintenance_Data].[Maintenance_Type].[Maintenance_Type]" caption="Maintenance_Type" numFmtId="0" hierarchy="12" level="1">
      <sharedItems count="3">
        <s v="Breakdown"/>
        <s v="Corrective"/>
        <s v="Preventive"/>
      </sharedItems>
      <extLst>
        <ext xmlns:x15="http://schemas.microsoft.com/office/spreadsheetml/2010/11/main" uri="{4F2E5C28-24EA-4eb8-9CBF-B6C8F9C3D259}">
          <x15:cachedUniqueNames>
            <x15:cachedUniqueName index="0" name="[Maintenance_Data].[Maintenance_Type].&amp;[Breakdown]"/>
            <x15:cachedUniqueName index="1" name="[Maintenance_Data].[Maintenance_Type].&amp;[Corrective]"/>
            <x15:cachedUniqueName index="2" name="[Maintenance_Data].[Maintenance_Type].&amp;[Preventive]"/>
          </x15:cachedUniqueNames>
        </ext>
      </extLst>
    </cacheField>
    <cacheField name="[Measures].[Total Work Orders]" caption="Total Work Orders" numFmtId="0" hierarchy="25"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fieldsUsage count="2">
        <fieldUsage x="-1"/>
        <fieldUsage x="0"/>
      </fieldsUsage>
    </cacheHierarchy>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oneField="1">
      <fieldsUsage count="1">
        <fieldUsage x="1"/>
      </fieldsUsage>
    </cacheHierarchy>
    <cacheHierarchy uniqueName="[Measures].[Total Maintenance Cost]" caption="Total Maintenance Cost" measure="1" displayFolder="" measureGroup="A" count="0"/>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8124999" backgroundQuery="1" createdVersion="8" refreshedVersion="8" minRefreshableVersion="3" recordCount="0" supportSubquery="1" supportAdvancedDrill="1" xr:uid="{9B17A728-D0EB-4DE2-B3A2-CCF04B5D059D}">
  <cacheSource type="external" connectionId="4"/>
  <cacheFields count="5">
    <cacheField name="[Maintenance_Data].[Asset_ID].[Asset_ID]" caption="Asset_ID" numFmtId="0" hierarchy="11" level="1">
      <sharedItems count="12">
        <s v="AST-001"/>
        <s v="AST-002"/>
        <s v="AST-003"/>
        <s v="AST-004"/>
        <s v="AST-005"/>
        <s v="AST-006"/>
        <s v="AST-007"/>
        <s v="AST-008"/>
        <s v="AST-009"/>
        <s v="AST-010"/>
        <s v="AST-011"/>
        <s v="AST-012"/>
      </sharedItems>
      <extLst>
        <ext xmlns:x15="http://schemas.microsoft.com/office/spreadsheetml/2010/11/main" uri="{4F2E5C28-24EA-4eb8-9CBF-B6C8F9C3D259}">
          <x15:cachedUniqueNames>
            <x15:cachedUniqueName index="0" name="[Maintenance_Data].[Asset_ID].&amp;[AST-001]"/>
            <x15:cachedUniqueName index="1" name="[Maintenance_Data].[Asset_ID].&amp;[AST-002]"/>
            <x15:cachedUniqueName index="2" name="[Maintenance_Data].[Asset_ID].&amp;[AST-003]"/>
            <x15:cachedUniqueName index="3" name="[Maintenance_Data].[Asset_ID].&amp;[AST-004]"/>
            <x15:cachedUniqueName index="4" name="[Maintenance_Data].[Asset_ID].&amp;[AST-005]"/>
            <x15:cachedUniqueName index="5" name="[Maintenance_Data].[Asset_ID].&amp;[AST-006]"/>
            <x15:cachedUniqueName index="6" name="[Maintenance_Data].[Asset_ID].&amp;[AST-007]"/>
            <x15:cachedUniqueName index="7" name="[Maintenance_Data].[Asset_ID].&amp;[AST-008]"/>
            <x15:cachedUniqueName index="8" name="[Maintenance_Data].[Asset_ID].&amp;[AST-009]"/>
            <x15:cachedUniqueName index="9" name="[Maintenance_Data].[Asset_ID].&amp;[AST-010]"/>
            <x15:cachedUniqueName index="10" name="[Maintenance_Data].[Asset_ID].&amp;[AST-011]"/>
            <x15:cachedUniqueName index="11" name="[Maintenance_Data].[Asset_ID].&amp;[AST-012]"/>
          </x15:cachedUniqueNames>
        </ext>
      </extLst>
    </cacheField>
    <cacheField name="[Measures].[Total Downtime]" caption="Total Downtime" numFmtId="0" hierarchy="27"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fieldsUsage count="2">
        <fieldUsage x="-1"/>
        <fieldUsage x="0"/>
      </fieldsUsage>
    </cacheHierarchy>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oneField="1">
      <fieldsUsage count="1">
        <fieldUsage x="1"/>
      </fieldsUsage>
    </cacheHierarchy>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4278587961" backgroundQuery="1" createdVersion="8" refreshedVersion="8" minRefreshableVersion="3" recordCount="0" supportSubquery="1" supportAdvancedDrill="1" xr:uid="{17C140FC-53C4-426F-ADB1-03042CFAEC65}">
  <cacheSource type="external" connectionId="4"/>
  <cacheFields count="9">
    <cacheField name="[Maintenance_Data].[Asset_ID].[Asset_ID]" caption="Asset_ID" numFmtId="0" hierarchy="11" level="1">
      <sharedItems count="12">
        <s v="AST-001"/>
        <s v="AST-002"/>
        <s v="AST-003"/>
        <s v="AST-004"/>
        <s v="AST-005"/>
        <s v="AST-006"/>
        <s v="AST-007"/>
        <s v="AST-008"/>
        <s v="AST-009"/>
        <s v="AST-010"/>
        <s v="AST-011"/>
        <s v="AST-012"/>
      </sharedItems>
      <extLst>
        <ext xmlns:x15="http://schemas.microsoft.com/office/spreadsheetml/2010/11/main" uri="{4F2E5C28-24EA-4eb8-9CBF-B6C8F9C3D259}">
          <x15:cachedUniqueNames>
            <x15:cachedUniqueName index="0" name="[Maintenance_Data].[Asset_ID].&amp;[AST-001]"/>
            <x15:cachedUniqueName index="1" name="[Maintenance_Data].[Asset_ID].&amp;[AST-002]"/>
            <x15:cachedUniqueName index="2" name="[Maintenance_Data].[Asset_ID].&amp;[AST-003]"/>
            <x15:cachedUniqueName index="3" name="[Maintenance_Data].[Asset_ID].&amp;[AST-004]"/>
            <x15:cachedUniqueName index="4" name="[Maintenance_Data].[Asset_ID].&amp;[AST-005]"/>
            <x15:cachedUniqueName index="5" name="[Maintenance_Data].[Asset_ID].&amp;[AST-006]"/>
            <x15:cachedUniqueName index="6" name="[Maintenance_Data].[Asset_ID].&amp;[AST-007]"/>
            <x15:cachedUniqueName index="7" name="[Maintenance_Data].[Asset_ID].&amp;[AST-008]"/>
            <x15:cachedUniqueName index="8" name="[Maintenance_Data].[Asset_ID].&amp;[AST-009]"/>
            <x15:cachedUniqueName index="9" name="[Maintenance_Data].[Asset_ID].&amp;[AST-010]"/>
            <x15:cachedUniqueName index="10" name="[Maintenance_Data].[Asset_ID].&amp;[AST-011]"/>
            <x15:cachedUniqueName index="11" name="[Maintenance_Data].[Asset_ID].&amp;[AST-012]"/>
          </x15:cachedUniqueNames>
        </ext>
      </extLst>
    </cacheField>
    <cacheField name="[Measures].[MTBF]" caption="MTBF" numFmtId="0" hierarchy="36" level="32767"/>
    <cacheField name="[Measures].[MTTR]" caption="MTTR" numFmtId="0" hierarchy="31" level="32767"/>
    <cacheField name="[Measures].[Availability]" caption="Availability" numFmtId="0" hierarchy="37" level="32767"/>
    <cacheField name="[Measures].[Total Failures]" caption="Total Failures" numFmtId="0" hierarchy="29" level="32767"/>
    <cacheField name="[Measures].[Priority State]" caption="Priority State" numFmtId="0" hierarchy="44" level="32767"/>
    <cacheField name="[Calendar].[Date Hierarchy].[Year]" caption="Year" numFmtId="0" hierarchy="2" level="1">
      <sharedItems containsSemiMixedTypes="0" containsNonDate="0" containsString="0"/>
    </cacheField>
    <cacheField name="[Calendar].[Date Hierarchy].[Month]" caption="Month" numFmtId="0" hierarchy="2" level="2">
      <sharedItems containsSemiMixedTypes="0" containsNonDate="0" containsString="0"/>
    </cacheField>
    <cacheField name="[Calendar].[Date Hierarchy].[DateColumn]" caption="DateColumn" numFmtId="0" hierarchy="2" level="3">
      <sharedItems containsSemiMixedTypes="0" containsNonDate="0" containsString="0"/>
    </cacheField>
  </cacheFields>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6"/>
        <fieldUsage x="7"/>
        <fieldUsage x="8"/>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fieldsUsage count="2">
        <fieldUsage x="-1"/>
        <fieldUsage x="0"/>
      </fieldsUsage>
    </cacheHierarchy>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oneField="1">
      <fieldsUsage count="1">
        <fieldUsage x="4"/>
      </fieldsUsage>
    </cacheHierarchy>
    <cacheHierarchy uniqueName="[Measures].[Average Downtime]" caption="Average Downtime" measure="1" displayFolder="" measureGroup="A" count="0"/>
    <cacheHierarchy uniqueName="[Measures].[MTTR]" caption="MTTR" measure="1" displayFolder="" measureGroup="A" count="0" oneField="1">
      <fieldsUsage count="1">
        <fieldUsage x="2"/>
      </fieldsUsage>
    </cacheHierarchy>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oneField="1">
      <fieldsUsage count="1">
        <fieldUsage x="1"/>
      </fieldsUsage>
    </cacheHierarchy>
    <cacheHierarchy uniqueName="[Measures].[Availability]" caption="Availability" measure="1" displayFolder="" measureGroup="A" count="0" oneField="1">
      <fieldsUsage count="1">
        <fieldUsage x="3"/>
      </fieldsUsage>
    </cacheHierarchy>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oneField="1">
      <fieldsUsage count="1">
        <fieldUsage x="5"/>
      </fieldsUsage>
    </cacheHierarchy>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dimensions count="4">
    <dimension name="A" uniqueName="[A]" caption="A"/>
    <dimension name="Calendar" uniqueName="[Calendar]" caption="Calendar"/>
    <dimension name="Maintenance_Data" uniqueName="[Maintenance_Data]" caption="Maintenance_Data"/>
    <dimension measure="1" name="Measures" uniqueName="[Measures]" caption="Measures"/>
  </dimensions>
  <measureGroups count="3">
    <measureGroup name="A" caption="A"/>
    <measureGroup name="Calendar" caption="Calendar"/>
    <measureGroup name="Maintenance_Data" caption="Maintenance_Data"/>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6.883413425923" backgroundQuery="1" createdVersion="3" refreshedVersion="8" minRefreshableVersion="3" recordCount="0" supportSubquery="1" supportAdvancedDrill="1" xr:uid="{DDB8C9C6-9F16-4BB7-91C5-AFFA504D32DD}">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Maintenance_Data].[Work_Order_ID]" caption="Work_Order_ID" attribute="1" defaultMemberUniqueName="[Maintenance_Data].[Work_Order_ID].[All]" allUniqueName="[Maintenance_Data].[Work_Order_ID].[All]" dimensionUniqueName="[Maintenance_Data]" displayFolder="" count="0" memberValueDatatype="130" unbalanced="0"/>
    <cacheHierarchy uniqueName="[Maintenance_Data].[Date]" caption="Date" attribute="1" time="1" defaultMemberUniqueName="[Maintenance_Data].[Date].[All]" allUniqueName="[Maintenance_Data].[Date].[All]" dimensionUniqueName="[Maintenance_Data]" displayFolder="" count="0" memberValueDatatype="7" unbalanced="0"/>
    <cacheHierarchy uniqueName="[Maintenance_Data].[Asset_ID]" caption="Asset_ID" attribute="1" defaultMemberUniqueName="[Maintenance_Data].[Asset_ID].[All]" allUniqueName="[Maintenance_Data].[Asset_ID].[All]" dimensionUniqueName="[Maintenance_Data]" displayFolder="" count="2" memberValueDatatype="130" unbalanced="0"/>
    <cacheHierarchy uniqueName="[Maintenance_Data].[Maintenance_Type]" caption="Maintenance_Type" attribute="1" defaultMemberUniqueName="[Maintenance_Data].[Maintenance_Type].[All]" allUniqueName="[Maintenance_Data].[Maintenance_Type].[All]" dimensionUniqueName="[Maintenance_Data]" displayFolder="" count="2" memberValueDatatype="130" unbalanced="0"/>
    <cacheHierarchy uniqueName="[Maintenance_Data].[Failure_Mode]" caption="Failure_Mode" attribute="1" defaultMemberUniqueName="[Maintenance_Data].[Failure_Mode].[All]" allUniqueName="[Maintenance_Data].[Failure_Mode].[All]" dimensionUniqueName="[Maintenance_Data]" displayFolder="" count="0" memberValueDatatype="130" unbalanced="0"/>
    <cacheHierarchy uniqueName="[Maintenance_Data].[Priority]" caption="Priority" attribute="1" defaultMemberUniqueName="[Maintenance_Data].[Priority].[All]" allUniqueName="[Maintenance_Data].[Priority].[All]" dimensionUniqueName="[Maintenance_Data]" displayFolder="" count="2" memberValueDatatype="130" unbalanced="0"/>
    <cacheHierarchy uniqueName="[Maintenance_Data].[Status]" caption="Status" attribute="1" defaultMemberUniqueName="[Maintenance_Data].[Status].[All]" allUniqueName="[Maintenance_Data].[Status].[All]" dimensionUniqueName="[Maintenance_Data]" displayFolder="" count="0" memberValueDatatype="130" unbalanced="0"/>
    <cacheHierarchy uniqueName="[Maintenance_Data].[Technician_ID]" caption="Technician_ID" attribute="1" defaultMemberUniqueName="[Maintenance_Data].[Technician_ID].[All]" allUniqueName="[Maintenance_Data].[Technician_ID].[All]" dimensionUniqueName="[Maintenance_Data]" displayFolder="" count="0" memberValueDatatype="130" unbalanced="0"/>
    <cacheHierarchy uniqueName="[Maintenance_Data].[Failure_Count]" caption="Failure_Count" attribute="1" defaultMemberUniqueName="[Maintenance_Data].[Failure_Count].[All]" allUniqueName="[Maintenance_Data].[Failure_Count].[All]" dimensionUniqueName="[Maintenance_Data]" displayFolder="" count="0" memberValueDatatype="20" unbalanced="0"/>
    <cacheHierarchy uniqueName="[Maintenance_Data].[Downtime_Hours]" caption="Downtime_Hours" attribute="1" defaultMemberUniqueName="[Maintenance_Data].[Downtime_Hours].[All]" allUniqueName="[Maintenance_Data].[Downtime_Hours].[All]" dimensionUniqueName="[Maintenance_Data]" displayFolder="" count="0" memberValueDatatype="5" unbalanced="0"/>
    <cacheHierarchy uniqueName="[Maintenance_Data].[Repair_Hours]" caption="Repair_Hours" attribute="1" defaultMemberUniqueName="[Maintenance_Data].[Repair_Hours].[All]" allUniqueName="[Maintenance_Data].[Repair_Hours].[All]" dimensionUniqueName="[Maintenance_Data]" displayFolder="" count="0" memberValueDatatype="5" unbalanced="0"/>
    <cacheHierarchy uniqueName="[Maintenance_Data].[Labour_Hours]" caption="Labour_Hours" attribute="1" defaultMemberUniqueName="[Maintenance_Data].[Labour_Hours].[All]" allUniqueName="[Maintenance_Data].[Labour_Hours].[All]" dimensionUniqueName="[Maintenance_Data]" displayFolder="" count="0" memberValueDatatype="5" unbalanced="0"/>
    <cacheHierarchy uniqueName="[Maintenance_Data].[Spare_Part_Cost_USD]" caption="Spare_Part_Cost_USD" attribute="1" defaultMemberUniqueName="[Maintenance_Data].[Spare_Part_Cost_USD].[All]" allUniqueName="[Maintenance_Data].[Spare_Part_Cost_USD].[All]" dimensionUniqueName="[Maintenance_Data]" displayFolder="" count="0" memberValueDatatype="5" unbalanced="0"/>
    <cacheHierarchy uniqueName="[Maintenance_Data].[Labour_Cost_USD]" caption="Labour_Cost_USD" attribute="1" defaultMemberUniqueName="[Maintenance_Data].[Labour_Cost_USD].[All]" allUniqueName="[Maintenance_Data].[Labour_Cost_USD].[All]" dimensionUniqueName="[Maintenance_Data]" displayFolder="" count="0" memberValueDatatype="5" unbalanced="0"/>
    <cacheHierarchy uniqueName="[Maintenance_Data].[Total_Maintenance_Cost_USD]" caption="Total_Maintenance_Cost_USD" attribute="1" defaultMemberUniqueName="[Maintenance_Data].[Total_Maintenance_Cost_USD].[All]" allUniqueName="[Maintenance_Data].[Total_Maintenance_Cost_USD].[All]" dimensionUniqueName="[Maintenance_Data]" displayFolder="" count="0" memberValueDatatype="5" unbalanced="0"/>
    <cacheHierarchy uniqueName="[Maintenance_Data].[Maintenance_Cost_Per_Labour_Hour]" caption="Maintenance_Cost_Per_Labour_Hour" attribute="1" defaultMemberUniqueName="[Maintenance_Data].[Maintenance_Cost_Per_Labour_Hour].[All]" allUniqueName="[Maintenance_Data].[Maintenance_Cost_Per_Labour_Hour].[All]" dimensionUniqueName="[Maintenance_Data]" displayFolder="" count="0" memberValueDatatype="5" unbalanced="0"/>
    <cacheHierarchy uniqueName="[Measures].[Total Work Orders]" caption="Total Work Orders" measure="1" displayFolder="" measureGroup="A" count="0"/>
    <cacheHierarchy uniqueName="[Measures].[Total Maintenance Cost]" caption="Total Maintenance Cost" measure="1" displayFolder="" measureGroup="A" count="0"/>
    <cacheHierarchy uniqueName="[Measures].[Total Downtime]" caption="Total Downtime" measure="1" displayFolder="" measureGroup="A" count="0"/>
    <cacheHierarchy uniqueName="[Measures].[Total Labour Hours]" caption="Total Labour Hours" measure="1" displayFolder="" measureGroup="A" count="0"/>
    <cacheHierarchy uniqueName="[Measures].[Total Failures]" caption="Total Failures" measure="1" displayFolder="" measureGroup="A" count="0"/>
    <cacheHierarchy uniqueName="[Measures].[Average Downtime]" caption="Average Downtime" measure="1" displayFolder="" measureGroup="A" count="0"/>
    <cacheHierarchy uniqueName="[Measures].[MTTR]" caption="MTTR" measure="1" displayFolder="" measureGroup="A" count="0"/>
    <cacheHierarchy uniqueName="[Measures].[Preventive Maintenance %]" caption="Preventive Maintenance %" measure="1" displayFolder="" measureGroup="A" count="0"/>
    <cacheHierarchy uniqueName="[Measures].[Corrective Maintenance %]" caption="Corrective Maintenance %" measure="1" displayFolder="" measureGroup="A" count="0"/>
    <cacheHierarchy uniqueName="[Measures].[Breakdown Maintenance %]" caption="Breakdown Maintenance %" measure="1" displayFolder="" measureGroup="A" count="0"/>
    <cacheHierarchy uniqueName="[Measures].[Total Operating Hours]" caption="Total Operating Hours" measure="1" displayFolder="" measureGroup="A" count="0"/>
    <cacheHierarchy uniqueName="[Measures].[MTBF]" caption="MTBF" measure="1" displayFolder="" measureGroup="A" count="0"/>
    <cacheHierarchy uniqueName="[Measures].[Availability]" caption="Availability" measure="1" displayFolder="" measureGroup="A" count="0"/>
    <cacheHierarchy uniqueName="[Measures].[MTBF Concern]" caption="MTBF Concern" measure="1" displayFolder="" measureGroup="A" count="0"/>
    <cacheHierarchy uniqueName="[Measures].[MTTR Concern]" caption="MTTR Concern" measure="1" displayFolder="" measureGroup="A" count="0"/>
    <cacheHierarchy uniqueName="[Measures].[Availability Concern]" caption="Availability Concern" measure="1" displayFolder="" measureGroup="A" count="0"/>
    <cacheHierarchy uniqueName="[Measures].[Failure Concern]" caption="Failure Concern" measure="1" displayFolder="" measureGroup="A" count="0"/>
    <cacheHierarchy uniqueName="[Measures].[Cost Concern]" caption="Cost Concern" measure="1" displayFolder="" measureGroup="A" count="0"/>
    <cacheHierarchy uniqueName="[Measures].[Priority Score]" caption="Priority Score" measure="1" displayFolder="" measureGroup="A" count="0"/>
    <cacheHierarchy uniqueName="[Measures].[Priority State]" caption="Priority State" measure="1" displayFolder="" measureGroup="A" count="0"/>
    <cacheHierarchy uniqueName="[Measures].[__XL_Count Maintenance_Data]" caption="__XL_Count Maintenance_Data" measure="1" displayFolder="" measureGroup="Maintenance_Data" count="0" hidden="1"/>
    <cacheHierarchy uniqueName="[Measures].[__XL_Count Calendar]" caption="__XL_Count Calendar" measure="1" displayFolder="" measureGroup="Calendar" count="0" hidden="1"/>
    <cacheHierarchy uniqueName="[Measures].[__XL_Count A]" caption="__XL_Count A" measure="1" displayFolder="" measureGroup="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12584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DE12B-1A99-4DA7-9A4A-915626476307}" name="PivotTable8" cacheId="2131" applyNumberFormats="0" applyBorderFormats="0" applyFontFormats="0" applyPatternFormats="0" applyAlignmentFormats="0" applyWidthHeightFormats="1" dataCaption="Values" tag="ab311a97-1176-4798-8439-596df9925b93" updatedVersion="8" minRefreshableVersion="3" useAutoFormatting="1" subtotalHiddenItems="1" itemPrintTitles="1" createdVersion="8" indent="0" outline="1" outlineData="1" multipleFieldFilters="0" chartFormat="7" rowHeaderCaption="Maintenance Type">
  <location ref="N3:O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4B05A-5D5F-4BC2-839D-1DAA29AC9205}" name="PivotTable6" cacheId="2128" applyNumberFormats="0" applyBorderFormats="0" applyFontFormats="0" applyPatternFormats="0" applyAlignmentFormats="0" applyWidthHeightFormats="1" dataCaption="Values" tag="828c95b3-1dcb-421b-80e8-05a95333647f" updatedVersion="8" minRefreshableVersion="3" useAutoFormatting="1" subtotalHiddenItems="1" itemPrintTitles="1" createdVersion="8" indent="0" outline="1" outlineData="1" multipleFieldFilters="0" rowHeaderCaption="Month">
  <location ref="E25:I38" firstHeaderRow="0"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Calenda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9BB24-1EC0-476E-B88E-6953C3B3E44A}" name="PivotTable4" cacheId="2122" applyNumberFormats="0" applyBorderFormats="0" applyFontFormats="0" applyPatternFormats="0" applyAlignmentFormats="0" applyWidthHeightFormats="1" dataCaption="Values" tag="b9377779-cd2d-4884-87b8-c6bf037dd91d" updatedVersion="8" minRefreshableVersion="3" useAutoFormatting="1" subtotalHiddenItems="1" itemPrintTitles="1" createdVersion="8" indent="0" outline="1" outlineData="1" multipleFieldFilters="0" rowHeaderCaption="Maintenance Type">
  <location ref="I3:L7"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56475-DDAF-49C7-8AA1-F085E7EB5C43}" name="PivotTable11" cacheId="2113" applyNumberFormats="0" applyBorderFormats="0" applyFontFormats="0" applyPatternFormats="0" applyAlignmentFormats="0" applyWidthHeightFormats="1" dataCaption="Values" tag="a8818f73-16b6-4bbb-9434-a88d8c80441d" updatedVersion="8" minRefreshableVersion="3" useAutoFormatting="1" subtotalHiddenItems="1" itemPrintTitles="1" createdVersion="8" indent="0" outline="1" outlineData="1" multipleFieldFilters="0" chartFormat="5" rowHeaderCaption="Failure Mode">
  <location ref="Q3:R11" firstHeaderRow="1" firstDataRow="1" firstDataCol="1"/>
  <pivotFields count="5">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v="5"/>
    </i>
    <i>
      <x v="4"/>
    </i>
    <i>
      <x v="6"/>
    </i>
    <i>
      <x v="3"/>
    </i>
    <i>
      <x v="2"/>
    </i>
    <i>
      <x v="1"/>
    </i>
    <i>
      <x/>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GreaterThan" id="2" iMeasureHier="29">
      <autoFilter ref="A1">
        <filterColumn colId="0">
          <customFilters>
            <customFilter operator="greaterThan" val="0"/>
          </customFilters>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92F9B-9B57-4A31-B5FE-0C682AAE583A}" name="PivotTable9" cacheId="2134" applyNumberFormats="0" applyBorderFormats="0" applyFontFormats="0" applyPatternFormats="0" applyAlignmentFormats="0" applyWidthHeightFormats="1" dataCaption="Values" tag="fb601bff-4ddb-4f28-9e10-db162164cbc2" updatedVersion="8" minRefreshableVersion="3" useAutoFormatting="1" subtotalHiddenItems="1" itemPrintTitles="1" createdVersion="8" indent="0" outline="1" outlineData="1" multipleFieldFilters="0" chartFormat="7" rowHeaderCaption="Asset ID">
  <location ref="N9:O22" firstHeaderRow="1" firstDataRow="1" firstDataCol="1"/>
  <pivotFields count="5">
    <pivotField axis="axisRow" allDrilled="1" subtotalTop="0" showAll="0" sortType="descending" dataSourceSort="1"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v="2"/>
    </i>
    <i>
      <x v="3"/>
    </i>
    <i>
      <x v="1"/>
    </i>
    <i>
      <x/>
    </i>
    <i>
      <x v="9"/>
    </i>
    <i>
      <x v="10"/>
    </i>
    <i>
      <x v="11"/>
    </i>
    <i>
      <x v="8"/>
    </i>
    <i>
      <x v="6"/>
    </i>
    <i>
      <x v="7"/>
    </i>
    <i>
      <x v="5"/>
    </i>
    <i>
      <x v="4"/>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C5AD93-8E7E-4428-BCA5-77FE243FDCAA}" name="PivotTable3" cacheId="2119" applyNumberFormats="0" applyBorderFormats="0" applyFontFormats="0" applyPatternFormats="0" applyAlignmentFormats="0" applyWidthHeightFormats="1" dataCaption="Values" tag="2b6bbf1b-e92b-4dc1-ad8e-af8b6882902e" updatedVersion="8" minRefreshableVersion="3" useAutoFormatting="1" subtotalHiddenItems="1" itemPrintTitles="1" createdVersion="8" indent="0" outline="1" outlineData="1" multipleFieldFilters="0" rowHeaderCaption="Asset ID">
  <location ref="A23:B3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E0E622-31E4-4786-86CA-549FF7523013}" name="PivotTable5" cacheId="2125" applyNumberFormats="0" applyBorderFormats="0" applyFontFormats="0" applyPatternFormats="0" applyAlignmentFormats="0" applyWidthHeightFormats="1" dataCaption="Values" tag="ca22c36b-5dc5-4d0a-a40e-37924e71ce4c" updatedVersion="8" minRefreshableVersion="3" useAutoFormatting="1" subtotalHiddenItems="1" itemPrintTitles="1" createdVersion="8" indent="0" outline="1" outlineData="1" multipleFieldFilters="0" rowHeaderCaption="Failure Mode">
  <location ref="I10:L22" firstHeaderRow="0" firstDataRow="1" firstDataCol="1"/>
  <pivotFields count="7">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F175A2-B93F-4C8D-8727-A1A3D30858F3}" name="PivotTable2" cacheId="2116" applyNumberFormats="0" applyBorderFormats="0" applyFontFormats="0" applyPatternFormats="0" applyAlignmentFormats="0" applyWidthHeightFormats="1" dataCaption="Values" tag="e5d52d58-2815-4d12-9dac-aa5586c6bde9" updatedVersion="8" minRefreshableVersion="3" useAutoFormatting="1" subtotalHiddenItems="1" itemPrintTitles="1" createdVersion="8" indent="0" outline="1" outlineData="1" multipleFieldFilters="0" rowHeaderCaption="Asset ID">
  <location ref="A7:E20" firstHeaderRow="0"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DD56DE-7327-4585-B37F-6BEA4045FE9F}" name="PivotTable7" cacheId="2107" applyNumberFormats="0" applyBorderFormats="0" applyFontFormats="0" applyPatternFormats="0" applyAlignmentFormats="0" applyWidthHeightFormats="1" dataCaption="Values" tag="807c721b-73e9-4d4b-a699-393296fa3570" updatedVersion="8" minRefreshableVersion="3" useAutoFormatting="1" subtotalHiddenItems="1" itemPrintTitles="1" createdVersion="8" indent="0" outline="1" outlineData="1" multipleFieldFilters="0" chartFormat="11" rowHeaderCaption="Asset ID">
  <location ref="K25:L38" firstHeaderRow="1" firstDataRow="1" firstDataCol="1"/>
  <pivotFields count="5">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v="4"/>
    </i>
    <i>
      <x v="10"/>
    </i>
    <i>
      <x v="6"/>
    </i>
    <i>
      <x v="11"/>
    </i>
    <i>
      <x v="5"/>
    </i>
    <i>
      <x v="7"/>
    </i>
    <i>
      <x v="8"/>
    </i>
    <i>
      <x v="9"/>
    </i>
    <i>
      <x/>
    </i>
    <i>
      <x v="3"/>
    </i>
    <i>
      <x v="1"/>
    </i>
    <i>
      <x v="2"/>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9C2AE-D216-4675-842A-BFF5BEC959DD}" name="PivotTable1" cacheId="2110" applyNumberFormats="0" applyBorderFormats="0" applyFontFormats="0" applyPatternFormats="0" applyAlignmentFormats="0" applyWidthHeightFormats="1" dataCaption="Values" tag="65b6a762-e4ef-4f66-8bcd-3477ed556b8e" updatedVersion="8" minRefreshableVersion="3" useAutoFormatting="1" subtotalHiddenItems="1" itemPrintTitles="1" createdVersion="8" indent="0" outline="1" outlineData="1" multipleFieldFilters="0">
  <location ref="A3:F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6">
    <i>
      <x/>
    </i>
    <i i="1">
      <x v="1"/>
    </i>
    <i i="2">
      <x v="2"/>
    </i>
    <i i="3">
      <x v="3"/>
    </i>
    <i i="4">
      <x v="4"/>
    </i>
    <i i="5">
      <x v="5"/>
    </i>
  </colItems>
  <dataFields count="6">
    <dataField fld="0" subtotal="count" baseField="0" baseItem="0"/>
    <dataField name="Maintenance Cost" fld="1" subtotal="count" baseField="0" baseItem="0"/>
    <dataField name="Total Downtime (Hrs)" fld="2" subtotal="count" baseField="0" baseItem="0"/>
    <dataField name="MTTR (Hrs)" fld="3" subtotal="count" baseField="0" baseItem="0"/>
    <dataField name="MTBF (Hrs)" fld="4" subtotal="count" baseField="0" baseItem="0"/>
    <dataField fld="5" subtotal="count" baseField="0" baseItem="0"/>
  </dataField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Maintenance Cost"/>
    <pivotHierarchy dragToRow="0" dragToCol="0" dragToPage="0" dragToData="1" caption="Total Downtime (Hrs)"/>
    <pivotHierarchy dragToRow="0" dragToCol="0" dragToPage="0" dragToData="1"/>
    <pivotHierarchy dragToRow="0" dragToCol="0" dragToPage="0" dragToData="1"/>
    <pivotHierarchy dragToRow="0" dragToCol="0" dragToPage="0" dragToData="1"/>
    <pivotHierarchy dragToRow="0" dragToCol="0" dragToPage="0" dragToData="1" caption="MTTR (H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TBF (H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76B61-F26E-455B-B650-1A5370602757}" name="PivotTable10" cacheId="2137" applyNumberFormats="0" applyBorderFormats="0" applyFontFormats="0" applyPatternFormats="0" applyAlignmentFormats="0" applyWidthHeightFormats="1" dataCaption="Values" tag="7062de15-b5d6-414b-bcf4-984438d62f70" updatedVersion="8" minRefreshableVersion="3" useAutoFormatting="1" subtotalHiddenItems="1" rowGrandTotals="0" itemPrintTitles="1" createdVersion="8" indent="0" outline="1" outlineData="1" multipleFieldFilters="0" rowHeaderCaption="Asset ID">
  <location ref="L19:Q31" firstHeaderRow="0" firstDataRow="1" firstDataCol="1"/>
  <pivotFields count="9">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numFmtId="1"/>
    <dataField name="Priority" fld="5" subtotal="count" baseField="0" baseItem="0" numFmtId="2"/>
  </dataFields>
  <formats count="70">
    <format dxfId="223">
      <pivotArea collapsedLevelsAreSubtotals="1" fieldPosition="0">
        <references count="1">
          <reference field="0" count="3">
            <x v="9"/>
            <x v="10"/>
            <x v="11"/>
          </reference>
        </references>
      </pivotArea>
    </format>
    <format dxfId="222">
      <pivotArea grandRow="1" outline="0" collapsedLevelsAreSubtotals="1" fieldPosition="0"/>
    </format>
    <format dxfId="221">
      <pivotArea dataOnly="0" labelOnly="1" fieldPosition="0">
        <references count="1">
          <reference field="0" count="3">
            <x v="9"/>
            <x v="10"/>
            <x v="11"/>
          </reference>
        </references>
      </pivotArea>
    </format>
    <format dxfId="220">
      <pivotArea dataOnly="0" labelOnly="1" grandRow="1" outline="0" fieldPosition="0"/>
    </format>
    <format dxfId="219">
      <pivotArea type="all" dataOnly="0" outline="0" fieldPosition="0"/>
    </format>
    <format dxfId="218">
      <pivotArea dataOnly="0" labelOnly="1" grandRow="1" outline="0" fieldPosition="0"/>
    </format>
    <format dxfId="217">
      <pivotArea grandRow="1" outline="0" collapsedLevelsAreSubtotals="1" fieldPosition="0"/>
    </format>
    <format dxfId="216">
      <pivotArea dataOnly="0" labelOnly="1" grandRow="1" outline="0" fieldPosition="0"/>
    </format>
    <format dxfId="215">
      <pivotArea type="all" dataOnly="0" outline="0" fieldPosition="0"/>
    </format>
    <format dxfId="214">
      <pivotArea outline="0" collapsedLevelsAreSubtotals="1" fieldPosition="0"/>
    </format>
    <format dxfId="213">
      <pivotArea field="0" type="button" dataOnly="0" labelOnly="1" outline="0" axis="axisRow" fieldPosition="0"/>
    </format>
    <format dxfId="212">
      <pivotArea dataOnly="0" labelOnly="1" fieldPosition="0">
        <references count="1">
          <reference field="0" count="0"/>
        </references>
      </pivotArea>
    </format>
    <format dxfId="211">
      <pivotArea dataOnly="0" labelOnly="1" outline="0" fieldPosition="0">
        <references count="1">
          <reference field="4294967294" count="3">
            <x v="0"/>
            <x v="1"/>
            <x v="2"/>
          </reference>
        </references>
      </pivotArea>
    </format>
    <format dxfId="210">
      <pivotArea type="all" dataOnly="0" outline="0" fieldPosition="0"/>
    </format>
    <format dxfId="209">
      <pivotArea outline="0" collapsedLevelsAreSubtotals="1"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outline="0" fieldPosition="0">
        <references count="1">
          <reference field="4294967294" count="3">
            <x v="0"/>
            <x v="1"/>
            <x v="2"/>
          </reference>
        </references>
      </pivotArea>
    </format>
    <format dxfId="205">
      <pivotArea field="0" type="button" dataOnly="0" labelOnly="1" outline="0" axis="axisRow" fieldPosition="0"/>
    </format>
    <format dxfId="204">
      <pivotArea dataOnly="0" labelOnly="1" outline="0" fieldPosition="0">
        <references count="1">
          <reference field="4294967294" count="3">
            <x v="0"/>
            <x v="1"/>
            <x v="2"/>
          </reference>
        </references>
      </pivotArea>
    </format>
    <format dxfId="203">
      <pivotArea field="0" type="button" dataOnly="0" labelOnly="1" outline="0" axis="axisRow" fieldPosition="0"/>
    </format>
    <format dxfId="202">
      <pivotArea dataOnly="0" labelOnly="1" outline="0" fieldPosition="0">
        <references count="1">
          <reference field="4294967294" count="3">
            <x v="0"/>
            <x v="1"/>
            <x v="2"/>
          </reference>
        </references>
      </pivotArea>
    </format>
    <format dxfId="201">
      <pivotArea collapsedLevelsAreSubtotals="1" fieldPosition="0">
        <references count="1">
          <reference field="0" count="9">
            <x v="0"/>
            <x v="1"/>
            <x v="2"/>
            <x v="3"/>
            <x v="4"/>
            <x v="5"/>
            <x v="6"/>
            <x v="7"/>
            <x v="8"/>
          </reference>
        </references>
      </pivotArea>
    </format>
    <format dxfId="200">
      <pivotArea field="0" type="button" dataOnly="0" labelOnly="1" outline="0" axis="axisRow" fieldPosition="0"/>
    </format>
    <format dxfId="199">
      <pivotArea dataOnly="0" labelOnly="1" fieldPosition="0">
        <references count="1">
          <reference field="0" count="9">
            <x v="0"/>
            <x v="1"/>
            <x v="2"/>
            <x v="3"/>
            <x v="4"/>
            <x v="5"/>
            <x v="6"/>
            <x v="7"/>
            <x v="8"/>
          </reference>
        </references>
      </pivotArea>
    </format>
    <format dxfId="198">
      <pivotArea dataOnly="0" labelOnly="1" outline="0" fieldPosition="0">
        <references count="1">
          <reference field="4294967294" count="3">
            <x v="0"/>
            <x v="1"/>
            <x v="2"/>
          </reference>
        </references>
      </pivotArea>
    </format>
    <format dxfId="197">
      <pivotArea outline="0" collapsedLevelsAreSubtotals="1" fieldPosition="0"/>
    </format>
    <format dxfId="196">
      <pivotArea field="0" type="button" dataOnly="0" labelOnly="1" outline="0" axis="axisRow" fieldPosition="0"/>
    </format>
    <format dxfId="195">
      <pivotArea dataOnly="0" labelOnly="1" outline="0" fieldPosition="0">
        <references count="1">
          <reference field="4294967294" count="3">
            <x v="0"/>
            <x v="1"/>
            <x v="2"/>
          </reference>
        </references>
      </pivotArea>
    </format>
    <format dxfId="194">
      <pivotArea dataOnly="0" labelOnly="1" fieldPosition="0">
        <references count="1">
          <reference field="0" count="0"/>
        </references>
      </pivotArea>
    </format>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outline="0" fieldPosition="0">
        <references count="1">
          <reference field="4294967294" count="3">
            <x v="0"/>
            <x v="1"/>
            <x v="2"/>
          </reference>
        </references>
      </pivotArea>
    </format>
    <format dxfId="187">
      <pivotArea collapsedLevelsAreSubtotals="1" fieldPosition="0">
        <references count="1">
          <reference field="0" count="0"/>
        </references>
      </pivotArea>
    </format>
    <format dxfId="186">
      <pivotArea field="0" type="button" dataOnly="0" labelOnly="1" outline="0" axis="axisRow" fieldPosition="0"/>
    </format>
    <format dxfId="185">
      <pivotArea dataOnly="0" labelOnly="1" fieldPosition="0">
        <references count="1">
          <reference field="0" count="0"/>
        </references>
      </pivotArea>
    </format>
    <format dxfId="184">
      <pivotArea dataOnly="0" labelOnly="1" outline="0" fieldPosition="0">
        <references count="1">
          <reference field="4294967294" count="3">
            <x v="0"/>
            <x v="1"/>
            <x v="2"/>
          </reference>
        </references>
      </pivotArea>
    </format>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fieldPosition="0">
        <references count="1">
          <reference field="4294967294" count="3">
            <x v="0"/>
            <x v="1"/>
            <x v="2"/>
          </reference>
        </references>
      </pivotArea>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fieldPosition="0">
        <references count="1">
          <reference field="4294967294" count="3">
            <x v="0"/>
            <x v="1"/>
            <x v="2"/>
          </reference>
        </references>
      </pivotArea>
    </format>
    <format dxfId="171">
      <pivotArea outline="0" collapsedLevelsAreSubtotals="1" fieldPosition="0">
        <references count="1">
          <reference field="4294967294" count="2" selected="0">
            <x v="3"/>
            <x v="4"/>
          </reference>
        </references>
      </pivotArea>
    </format>
    <format dxfId="170">
      <pivotArea dataOnly="0" labelOnly="1" outline="0" fieldPosition="0">
        <references count="1">
          <reference field="4294967294" count="2">
            <x v="3"/>
            <x v="4"/>
          </reference>
        </references>
      </pivotArea>
    </format>
    <format dxfId="169">
      <pivotArea collapsedLevelsAreSubtotals="1" fieldPosition="0">
        <references count="2">
          <reference field="4294967294" count="1" selected="0">
            <x v="4"/>
          </reference>
          <reference field="0" count="0"/>
        </references>
      </pivotArea>
    </format>
    <format dxfId="168">
      <pivotArea type="all" dataOnly="0" outline="0" fieldPosition="0"/>
    </format>
    <format dxfId="167">
      <pivotArea dataOnly="0" labelOnly="1" outline="0" fieldPosition="0">
        <references count="1">
          <reference field="4294967294" count="5">
            <x v="0"/>
            <x v="1"/>
            <x v="2"/>
            <x v="3"/>
            <x v="4"/>
          </reference>
        </references>
      </pivotArea>
    </format>
    <format dxfId="166">
      <pivotArea outline="0" collapsedLevelsAreSubtotals="1" fieldPosition="0">
        <references count="1">
          <reference field="4294967294" count="1" selected="0">
            <x v="4"/>
          </reference>
        </references>
      </pivotArea>
    </format>
    <format dxfId="165">
      <pivotArea dataOnly="0" labelOnly="1" outline="0" fieldPosition="0">
        <references count="1">
          <reference field="4294967294" count="1">
            <x v="4"/>
          </reference>
        </references>
      </pivotArea>
    </format>
    <format dxfId="164">
      <pivotArea type="all" dataOnly="0" outline="0" fieldPosition="0"/>
    </format>
    <format dxfId="163">
      <pivotArea outline="0" collapsedLevelsAreSubtotals="1" fieldPosition="0"/>
    </format>
    <format dxfId="162">
      <pivotArea field="0" type="button" dataOnly="0" labelOnly="1" outline="0" axis="axisRow" fieldPosition="0"/>
    </format>
    <format dxfId="161">
      <pivotArea dataOnly="0" labelOnly="1" fieldPosition="0">
        <references count="1">
          <reference field="0" count="0"/>
        </references>
      </pivotArea>
    </format>
    <format dxfId="160">
      <pivotArea dataOnly="0" labelOnly="1" outline="0" fieldPosition="0">
        <references count="1">
          <reference field="4294967294" count="5">
            <x v="0"/>
            <x v="1"/>
            <x v="2"/>
            <x v="3"/>
            <x v="4"/>
          </reference>
        </references>
      </pivotArea>
    </format>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outline="0" fieldPosition="0">
        <references count="1">
          <reference field="4294967294" count="5">
            <x v="0"/>
            <x v="1"/>
            <x v="2"/>
            <x v="3"/>
            <x v="4"/>
          </reference>
        </references>
      </pivotArea>
    </format>
    <format dxfId="140">
      <pivotArea outline="0" fieldPosition="0">
        <references count="1">
          <reference field="4294967294" count="1">
            <x v="3"/>
          </reference>
        </references>
      </pivotArea>
    </format>
  </formats>
  <conditionalFormats count="7">
    <conditionalFormat priority="9">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3"/>
            </reference>
          </references>
        </pivotArea>
      </pivotAreas>
    </conditionalFormat>
    <conditionalFormat scope="data" priority="4">
      <pivotAreas count="1">
        <pivotArea outline="0" fieldPosition="0">
          <references count="1">
            <reference field="4294967294" count="1" selected="0">
              <x v="4"/>
            </reference>
          </references>
        </pivotArea>
      </pivotAreas>
    </conditionalFormat>
    <conditionalFormat scope="data" priority="3">
      <pivotAreas count="1">
        <pivotArea outline="0" fieldPosition="0">
          <references count="1">
            <reference field="4294967294" count="1" selected="0">
              <x v="4"/>
            </reference>
          </references>
        </pivotArea>
      </pivotAreas>
    </conditionalFormat>
    <conditionalFormat priority="1">
      <pivotAreas count="1">
        <pivotArea type="data" outline="0" collapsedLevelsAreSubtotals="1" fieldPosition="0">
          <references count="1">
            <reference field="4294967294" count="1" selected="0">
              <x v="4"/>
            </reference>
          </references>
        </pivotArea>
      </pivotAreas>
    </conditionalFormat>
  </conditionalFormats>
  <pivotHierarchies count="49">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iorit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enance_Data]"/>
        <x15:activeTabTopLevelEntity name="[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_ID" xr10:uid="{26597B9B-70BE-42F1-8A83-D06C955C31D5}" sourceName="[Maintenance_Data].[Asset_ID]">
  <pivotTables>
    <pivotTable tabId="5" name="PivotTable7"/>
    <pivotTable tabId="5" name="PivotTable1"/>
    <pivotTable tabId="5" name="PivotTable11"/>
    <pivotTable tabId="5" name="PivotTable2"/>
    <pivotTable tabId="5" name="PivotTable3"/>
    <pivotTable tabId="5" name="PivotTable4"/>
    <pivotTable tabId="5" name="PivotTable5"/>
    <pivotTable tabId="5" name="PivotTable6"/>
    <pivotTable tabId="5" name="PivotTable8"/>
    <pivotTable tabId="5" name="PivotTable9"/>
    <pivotTable tabId="6" name="PivotTable10"/>
  </pivotTables>
  <data>
    <olap pivotCacheId="1391258438">
      <levels count="2">
        <level uniqueName="[Maintenance_Data].[Asset_ID].[(All)]" sourceCaption="(All)" count="0"/>
        <level uniqueName="[Maintenance_Data].[Asset_ID].[Asset_ID]" sourceCaption="Asset_ID" count="12">
          <ranges>
            <range startItem="0">
              <i n="[Maintenance_Data].[Asset_ID].&amp;[AST-001]" c="AST-001"/>
              <i n="[Maintenance_Data].[Asset_ID].&amp;[AST-002]" c="AST-002"/>
              <i n="[Maintenance_Data].[Asset_ID].&amp;[AST-003]" c="AST-003"/>
              <i n="[Maintenance_Data].[Asset_ID].&amp;[AST-004]" c="AST-004"/>
              <i n="[Maintenance_Data].[Asset_ID].&amp;[AST-005]" c="AST-005"/>
              <i n="[Maintenance_Data].[Asset_ID].&amp;[AST-006]" c="AST-006"/>
              <i n="[Maintenance_Data].[Asset_ID].&amp;[AST-007]" c="AST-007"/>
              <i n="[Maintenance_Data].[Asset_ID].&amp;[AST-008]" c="AST-008"/>
              <i n="[Maintenance_Data].[Asset_ID].&amp;[AST-009]" c="AST-009"/>
              <i n="[Maintenance_Data].[Asset_ID].&amp;[AST-010]" c="AST-010"/>
              <i n="[Maintenance_Data].[Asset_ID].&amp;[AST-011]" c="AST-011"/>
              <i n="[Maintenance_Data].[Asset_ID].&amp;[AST-012]" c="AST-012"/>
            </range>
          </ranges>
        </level>
      </levels>
      <selections count="1">
        <selection n="[Maintenance_Data].[Asset_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23746C1-6DC8-45A5-B0AA-595615303C67}" sourceName="[Maintenance_Data].[Priority]">
  <pivotTables>
    <pivotTable tabId="5" name="PivotTable7"/>
    <pivotTable tabId="5" name="PivotTable1"/>
    <pivotTable tabId="5" name="PivotTable11"/>
    <pivotTable tabId="5" name="PivotTable2"/>
    <pivotTable tabId="5" name="PivotTable3"/>
    <pivotTable tabId="5" name="PivotTable4"/>
    <pivotTable tabId="5" name="PivotTable5"/>
    <pivotTable tabId="5" name="PivotTable6"/>
    <pivotTable tabId="5" name="PivotTable8"/>
    <pivotTable tabId="5" name="PivotTable9"/>
    <pivotTable tabId="6" name="PivotTable10"/>
  </pivotTables>
  <data>
    <olap pivotCacheId="1391258438">
      <levels count="2">
        <level uniqueName="[Maintenance_Data].[Priority].[(All)]" sourceCaption="(All)" count="0"/>
        <level uniqueName="[Maintenance_Data].[Priority].[Priority]" sourceCaption="Priority" count="4">
          <ranges>
            <range startItem="0">
              <i n="[Maintenance_Data].[Priority].&amp;[Critical]" c="Critical"/>
              <i n="[Maintenance_Data].[Priority].&amp;[High]" c="High"/>
              <i n="[Maintenance_Data].[Priority].&amp;[Low]" c="Low"/>
              <i n="[Maintenance_Data].[Priority].&amp;[Medium]" c="Medium"/>
            </range>
          </ranges>
        </level>
      </levels>
      <selections count="1">
        <selection n="[Maintenance_Data].[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8E6C6D6D-19CA-4468-A5B3-1500ADB72CD8}" sourceName="[Calendar].[Date Hierarchy]">
  <pivotTables>
    <pivotTable tabId="5" name="PivotTable7"/>
    <pivotTable tabId="5" name="PivotTable1"/>
    <pivotTable tabId="5" name="PivotTable11"/>
    <pivotTable tabId="5" name="PivotTable2"/>
    <pivotTable tabId="5" name="PivotTable3"/>
    <pivotTable tabId="5" name="PivotTable4"/>
    <pivotTable tabId="5" name="PivotTable5"/>
    <pivotTable tabId="5" name="PivotTable6"/>
    <pivotTable tabId="5" name="PivotTable8"/>
    <pivotTable tabId="5" name="PivotTable9"/>
    <pivotTable tabId="6" name="PivotTable10"/>
  </pivotTables>
  <data>
    <olap pivotCacheId="1391258438">
      <levels count="4">
        <level uniqueName="[Calendar].[Date Hierarchy].[(All)]" sourceCaption="(All)" count="0"/>
        <level uniqueName="[Calendar].[Date Hierarchy].[Year]" sourceCaption="Year" count="0"/>
        <level uniqueName="[Calendar].[Date Hierarchy].[Month]" sourceCaption="Month" count="12">
          <ranges>
            <range startItem="0">
              <i n="[Calendar].[Date Hierarchy].[Month].&amp;[January]" c="January">
                <p n="[Calendar].[Date Hierarchy].[Year].&amp;[2025]"/>
              </i>
              <i n="[Calendar].[Date Hierarchy].[Month].&amp;[February]" c="February">
                <p n="[Calendar].[Date Hierarchy].[Year].&amp;[2025]"/>
              </i>
              <i n="[Calendar].[Date Hierarchy].[Month].&amp;[March]" c="March">
                <p n="[Calendar].[Date Hierarchy].[Year].&amp;[2025]"/>
              </i>
              <i n="[Calendar].[Date Hierarchy].[Month].&amp;[April]" c="April">
                <p n="[Calendar].[Date Hierarchy].[Year].&amp;[2025]"/>
              </i>
              <i n="[Calendar].[Date Hierarchy].[Month].&amp;[May]" c="May">
                <p n="[Calendar].[Date Hierarchy].[Year].&amp;[2025]"/>
              </i>
              <i n="[Calendar].[Date Hierarchy].[Month].&amp;[June]" c="June">
                <p n="[Calendar].[Date Hierarchy].[Year].&amp;[2025]"/>
              </i>
              <i n="[Calendar].[Date Hierarchy].[Month].&amp;[July]" c="July">
                <p n="[Calendar].[Date Hierarchy].[Year].&amp;[2025]"/>
              </i>
              <i n="[Calendar].[Date Hierarchy].[Month].&amp;[August]" c="August">
                <p n="[Calendar].[Date Hierarchy].[Year].&amp;[2025]"/>
              </i>
              <i n="[Calendar].[Date Hierarchy].[Month].&amp;[September]" c="September">
                <p n="[Calendar].[Date Hierarchy].[Year].&amp;[2025]"/>
              </i>
              <i n="[Calendar].[Date Hierarchy].[Month].&amp;[October]" c="October">
                <p n="[Calendar].[Date Hierarchy].[Year].&amp;[2025]"/>
              </i>
              <i n="[Calendar].[Date Hierarchy].[Month].&amp;[November]" c="November">
                <p n="[Calendar].[Date Hierarchy].[Year].&amp;[2025]"/>
              </i>
              <i n="[Calendar].[Date Hierarchy].[Month].&amp;[December]" c="December">
                <p n="[Calendar].[Date Hierarchy].[Year].&amp;[2025]"/>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_Type" xr10:uid="{C86054EA-6CC8-4986-BA26-A04BCF0116F0}" sourceName="[Maintenance_Data].[Maintenance_Type]">
  <pivotTables>
    <pivotTable tabId="5" name="PivotTable7"/>
    <pivotTable tabId="5" name="PivotTable1"/>
    <pivotTable tabId="5" name="PivotTable11"/>
    <pivotTable tabId="5" name="PivotTable2"/>
    <pivotTable tabId="5" name="PivotTable3"/>
    <pivotTable tabId="5" name="PivotTable4"/>
    <pivotTable tabId="5" name="PivotTable5"/>
    <pivotTable tabId="5" name="PivotTable6"/>
    <pivotTable tabId="5" name="PivotTable8"/>
    <pivotTable tabId="5" name="PivotTable9"/>
    <pivotTable tabId="6" name="PivotTable10"/>
  </pivotTables>
  <data>
    <olap pivotCacheId="1391258438">
      <levels count="2">
        <level uniqueName="[Maintenance_Data].[Maintenance_Type].[(All)]" sourceCaption="(All)" count="0"/>
        <level uniqueName="[Maintenance_Data].[Maintenance_Type].[Maintenance_Type]" sourceCaption="Maintenance_Type" count="3">
          <ranges>
            <range startItem="0">
              <i n="[Maintenance_Data].[Maintenance_Type].&amp;[Breakdown]" c="Breakdown"/>
              <i n="[Maintenance_Data].[Maintenance_Type].&amp;[Corrective]" c="Corrective"/>
              <i n="[Maintenance_Data].[Maintenance_Type].&amp;[Preventive]" c="Preventive"/>
            </range>
          </ranges>
        </level>
      </levels>
      <selections count="1">
        <selection n="[Maintenance_Data].[Maintenanc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_ID" xr10:uid="{689F3B1E-99AC-4B6F-BF6E-B2E61A16F9CD}" cache="Slicer_Asset_ID" caption="Asset_ID" level="1" style="SlicerStyleDark1" rowHeight="241300"/>
  <slicer name="Priority" xr10:uid="{2458E098-3C8B-4DED-A1A7-180940A72771}" cache="Slicer_Priority" caption="Priority" level="1" style="SlicerStyleDark1" rowHeight="241300"/>
  <slicer name="Month" xr10:uid="{9DB5B081-FB05-49F0-870F-2F97DE01E324}" cache="Slicer_Date_Hierarchy" caption="Month" level="2" style="SlicerStyleDark1" rowHeight="241300"/>
  <slicer name="Maintenance_Type" xr10:uid="{0F531AC5-E13B-4D2A-A795-50B1B6ACBF49}" cache="Slicer_Maintenance_Type" caption="Maintenance_Type" level="1"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CAD2F3-D88A-40A4-9225-5E9F848AB00D}" name="Table2" displayName="Table2" ref="A1:O301" totalsRowShown="0" headerRowDxfId="154" headerRowBorderDxfId="153" tableBorderDxfId="152">
  <autoFilter ref="A1:O301" xr:uid="{E6CAD2F3-D88A-40A4-9225-5E9F848AB00D}"/>
  <tableColumns count="15">
    <tableColumn id="1" xr3:uid="{1158FA70-146F-4936-9B91-D4134FD37589}" name="Work_Order_ID"/>
    <tableColumn id="2" xr3:uid="{9FC379C1-8423-432A-BECB-E8B2C4A7D93C}" name="Date" dataDxfId="151"/>
    <tableColumn id="3" xr3:uid="{BFA8CD12-D081-4348-B18B-EADB0EC055A6}" name="Asset_ID"/>
    <tableColumn id="4" xr3:uid="{760DDC69-9CA3-41A9-B354-A87CA23E58CA}" name="Maintenance_Type"/>
    <tableColumn id="5" xr3:uid="{27DD09DE-E51C-45AF-AB9E-AB4A861C39C9}" name="Failure_Mode"/>
    <tableColumn id="6" xr3:uid="{F01C3F56-9231-478F-B474-D193EC129A64}" name="Priority"/>
    <tableColumn id="7" xr3:uid="{3421E056-5D86-4154-8156-C714A877B183}" name="Status"/>
    <tableColumn id="8" xr3:uid="{E2CC1111-F11D-4608-9977-D11182321CEC}" name="Technician_ID"/>
    <tableColumn id="9" xr3:uid="{6DECFAB5-4A5B-4B17-8230-DFA6AA012084}" name="Failure_Count"/>
    <tableColumn id="10" xr3:uid="{DBEC18A5-249E-4A01-AE9A-9E2A3E1E456E}" name="Downtime_Hours"/>
    <tableColumn id="11" xr3:uid="{76D8BA07-3B99-4694-A95F-FDA36855CBC3}" name="Repair_Hours"/>
    <tableColumn id="12" xr3:uid="{D8D96C1E-21F3-429C-A193-1A760A17257F}" name="Labour_Hours"/>
    <tableColumn id="13" xr3:uid="{71AA7DBA-8E2D-4B8C-92EB-488AC24EE79A}" name="Spare_Part_Cost_USD"/>
    <tableColumn id="14" xr3:uid="{C52E93C3-C0F7-4382-BB8F-F424B2B31785}" name="Labour_Cost_USD"/>
    <tableColumn id="15" xr3:uid="{258A861A-358E-4D6E-8485-90DD24FE2BB5}" name="Total_Maintenance_Cost_USD">
      <calculatedColumnFormula>SUM($M2:N2)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5883D-6927-4DF2-A93E-C8174184CBE9}" name="Table3" displayName="Table3" ref="H1:J2" totalsRowShown="0" headerRowDxfId="150" dataDxfId="149">
  <autoFilter ref="H1:J2" xr:uid="{3DA5883D-6927-4DF2-A93E-C8174184CBE9}"/>
  <tableColumns count="3">
    <tableColumn id="1" xr3:uid="{BC9B520C-2873-4C53-ABA1-E965F337A595}" name="Operating_Days_Per_Year" dataDxfId="148"/>
    <tableColumn id="2" xr3:uid="{3DAB8654-805D-47F3-848F-18EABA0F71B3}" name="Hours_Per_Day" dataDxfId="147"/>
    <tableColumn id="3" xr3:uid="{599FAEB5-28A9-405F-818D-A27827C933C3}" name="Annual_Planned_Hours" dataDxfId="146">
      <calculatedColumnFormula>H2*I2</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5D7EA-EFFD-459C-BAF1-B007C1A708FD}" name="Table1" displayName="Table1" ref="A1:P301" totalsRowShown="0" headerRowDxfId="145" headerRowBorderDxfId="144" tableBorderDxfId="143">
  <autoFilter ref="A1:P301" xr:uid="{6D25D7EA-EFFD-459C-BAF1-B007C1A708FD}"/>
  <tableColumns count="16">
    <tableColumn id="1" xr3:uid="{6AF0B2DE-0F1E-4310-87BE-CBDFD172BB8C}" name="Work_Order_ID"/>
    <tableColumn id="2" xr3:uid="{839E4A6F-4AB9-4CE0-8360-3859AD75AA38}" name="Date" dataDxfId="142"/>
    <tableColumn id="3" xr3:uid="{691BBCFD-D1FE-4475-80FD-A9F7B4E78A84}" name="Asset_ID"/>
    <tableColumn id="4" xr3:uid="{684C2DB1-DB86-4999-9D0B-AA327362589C}" name="Maintenance_Type"/>
    <tableColumn id="5" xr3:uid="{5445FF79-30EC-41FC-BB95-0AA7A9EA8436}" name="Failure_Mode"/>
    <tableColumn id="6" xr3:uid="{A6D20619-52E0-47C5-938F-D4C59724D41E}" name="Priority"/>
    <tableColumn id="7" xr3:uid="{8077AA1A-6265-4304-9F3B-189E491A4C0B}" name="Status"/>
    <tableColumn id="8" xr3:uid="{5208F2D6-2D13-4954-AC6A-1F1F57C89D5D}" name="Technician_ID"/>
    <tableColumn id="9" xr3:uid="{B42BEDDB-8B46-4487-A48B-7F79BF2E925E}" name="Failure_Count"/>
    <tableColumn id="10" xr3:uid="{C43D1230-0A53-4AC2-952B-E5F5D988387C}" name="Downtime_Hours"/>
    <tableColumn id="11" xr3:uid="{C823ED1C-7650-471C-B233-A7423134C6F8}" name="Repair_Hours"/>
    <tableColumn id="12" xr3:uid="{D98CB9DA-CAC1-4ED5-B1D2-A58305886B1B}" name="Labour_Hours"/>
    <tableColumn id="13" xr3:uid="{FD9D668B-4540-4E6A-89ED-24C309DED977}" name="Spare_Part_Cost_USD"/>
    <tableColumn id="14" xr3:uid="{771CEFCA-0E7F-4026-AE8D-3BF2C40BDA5D}" name="Labour_Cost_USD"/>
    <tableColumn id="15" xr3:uid="{E2B8FC8D-0001-4032-BCB7-BA2749996422}" name="Total_Maintenance_Cost_USD">
      <calculatedColumnFormula>SUM($M2:N2)</calculatedColumnFormula>
    </tableColumn>
    <tableColumn id="16" xr3:uid="{EDFCA88F-E46D-4B7F-9917-F19768A7E417}" name="Maintenance_Cost_Per_Labour_Hour" dataDxfId="141">
      <calculatedColumnFormula>IFERROR(Table1[[#This Row],[Total_Maintenance_Cost_USD]]/Table1[[#This Row],[Labour_Hours]],0)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29" sqref="B29"/>
    </sheetView>
  </sheetViews>
  <sheetFormatPr defaultRowHeight="15"/>
  <cols>
    <col min="1" max="1" width="16.85546875" customWidth="1"/>
    <col min="2" max="2" width="93.5703125" customWidth="1"/>
  </cols>
  <sheetData>
    <row r="1" spans="1:2">
      <c r="A1" s="1" t="s">
        <v>372</v>
      </c>
      <c r="B1" s="1" t="s">
        <v>373</v>
      </c>
    </row>
    <row r="2" spans="1:2">
      <c r="A2" t="s">
        <v>374</v>
      </c>
      <c r="B2" t="s">
        <v>375</v>
      </c>
    </row>
    <row r="3" spans="1:2">
      <c r="A3" t="s">
        <v>376</v>
      </c>
      <c r="B3" t="s">
        <v>377</v>
      </c>
    </row>
    <row r="4" spans="1:2">
      <c r="A4" t="s">
        <v>378</v>
      </c>
      <c r="B4" s="3" t="s">
        <v>379</v>
      </c>
    </row>
    <row r="5" spans="1:2">
      <c r="A5" t="s">
        <v>380</v>
      </c>
      <c r="B5" s="4">
        <v>300</v>
      </c>
    </row>
    <row r="6" spans="1:2">
      <c r="A6" t="s">
        <v>381</v>
      </c>
      <c r="B6" t="s">
        <v>382</v>
      </c>
    </row>
    <row r="7" spans="1:2">
      <c r="A7" t="s">
        <v>383</v>
      </c>
      <c r="B7" t="s">
        <v>384</v>
      </c>
    </row>
  </sheetData>
  <pageMargins left="0.75" right="0.75" top="1" bottom="1" header="0.5" footer="0.5"/>
  <pageSetup orientation="portrait" r:id="rId1"/>
  <ignoredErrors>
    <ignoredError sqref="B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opLeftCell="H1" workbookViewId="0">
      <selection activeCell="O3" sqref="O3"/>
    </sheetView>
  </sheetViews>
  <sheetFormatPr defaultRowHeight="15"/>
  <cols>
    <col min="1" max="1" width="17" customWidth="1"/>
    <col min="2" max="2" width="18.28515625" customWidth="1"/>
    <col min="3" max="3" width="10.85546875" customWidth="1"/>
    <col min="4" max="4" width="20.140625" customWidth="1"/>
    <col min="5" max="5" width="17.42578125" customWidth="1"/>
    <col min="6" max="6" width="9.7109375" customWidth="1"/>
    <col min="7" max="7" width="10.85546875" customWidth="1"/>
    <col min="8" max="8" width="15.42578125" customWidth="1"/>
    <col min="9" max="9" width="15.5703125" customWidth="1"/>
    <col min="10" max="10" width="18.5703125" customWidth="1"/>
    <col min="11" max="11" width="15" customWidth="1"/>
    <col min="12" max="12" width="15.28515625" customWidth="1"/>
    <col min="13" max="13" width="22.28515625" customWidth="1"/>
    <col min="14" max="14" width="18.7109375" customWidth="1"/>
    <col min="15" max="15" width="29.85546875" customWidth="1"/>
  </cols>
  <sheetData>
    <row r="1" spans="1:1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c r="A2" t="s">
        <v>15</v>
      </c>
      <c r="B2" s="2">
        <v>45660</v>
      </c>
      <c r="C2" t="s">
        <v>16</v>
      </c>
      <c r="D2" t="s">
        <v>17</v>
      </c>
      <c r="E2" t="s">
        <v>18</v>
      </c>
      <c r="F2" t="s">
        <v>19</v>
      </c>
      <c r="G2" t="s">
        <v>20</v>
      </c>
      <c r="H2" t="s">
        <v>21</v>
      </c>
      <c r="I2">
        <v>1</v>
      </c>
      <c r="J2">
        <v>8.31</v>
      </c>
      <c r="K2">
        <v>6.28</v>
      </c>
      <c r="L2">
        <v>6.47</v>
      </c>
      <c r="M2">
        <v>1136.83</v>
      </c>
      <c r="N2">
        <v>226.45</v>
      </c>
      <c r="O2">
        <f>SUM($M2:N2)</f>
        <v>1363.28</v>
      </c>
    </row>
    <row r="3" spans="1:15">
      <c r="A3" t="s">
        <v>22</v>
      </c>
      <c r="B3" s="2">
        <v>45665</v>
      </c>
      <c r="C3" t="s">
        <v>23</v>
      </c>
      <c r="D3" t="s">
        <v>17</v>
      </c>
      <c r="E3" t="s">
        <v>24</v>
      </c>
      <c r="F3" t="s">
        <v>19</v>
      </c>
      <c r="G3" t="s">
        <v>20</v>
      </c>
      <c r="H3" t="s">
        <v>25</v>
      </c>
      <c r="I3">
        <v>1</v>
      </c>
      <c r="J3">
        <v>7.34</v>
      </c>
      <c r="K3">
        <v>6.79</v>
      </c>
      <c r="L3">
        <v>7.36</v>
      </c>
      <c r="M3">
        <v>2478.08</v>
      </c>
      <c r="N3">
        <v>257.60000000000002</v>
      </c>
      <c r="O3">
        <f>SUM($M3:N3)</f>
        <v>2735.68</v>
      </c>
    </row>
    <row r="4" spans="1:15">
      <c r="A4" t="s">
        <v>26</v>
      </c>
      <c r="B4" s="2">
        <v>45665</v>
      </c>
      <c r="C4" t="s">
        <v>27</v>
      </c>
      <c r="D4" t="s">
        <v>28</v>
      </c>
      <c r="E4" t="s">
        <v>29</v>
      </c>
      <c r="F4" t="s">
        <v>30</v>
      </c>
      <c r="G4" t="s">
        <v>20</v>
      </c>
      <c r="H4" t="s">
        <v>21</v>
      </c>
      <c r="I4">
        <v>0</v>
      </c>
      <c r="J4">
        <v>0.35</v>
      </c>
      <c r="K4">
        <v>1.74</v>
      </c>
      <c r="L4">
        <v>1.92</v>
      </c>
      <c r="M4">
        <v>114.01</v>
      </c>
      <c r="N4">
        <v>86.4</v>
      </c>
      <c r="O4">
        <f>SUM($M4:N4)</f>
        <v>200.41000000000003</v>
      </c>
    </row>
    <row r="5" spans="1:15">
      <c r="A5" t="s">
        <v>31</v>
      </c>
      <c r="B5" s="2">
        <v>45666</v>
      </c>
      <c r="C5" t="s">
        <v>32</v>
      </c>
      <c r="D5" t="s">
        <v>28</v>
      </c>
      <c r="E5" t="s">
        <v>33</v>
      </c>
      <c r="F5" t="s">
        <v>30</v>
      </c>
      <c r="G5" t="s">
        <v>20</v>
      </c>
      <c r="H5" t="s">
        <v>34</v>
      </c>
      <c r="I5">
        <v>0</v>
      </c>
      <c r="J5">
        <v>0.69</v>
      </c>
      <c r="K5">
        <v>1.4</v>
      </c>
      <c r="L5">
        <v>1.57</v>
      </c>
      <c r="M5">
        <v>181.21</v>
      </c>
      <c r="N5">
        <v>70.650000000000006</v>
      </c>
      <c r="O5">
        <f>SUM($M5:N5)</f>
        <v>251.86</v>
      </c>
    </row>
    <row r="6" spans="1:15">
      <c r="A6" t="s">
        <v>35</v>
      </c>
      <c r="B6" s="2">
        <v>45666</v>
      </c>
      <c r="C6" t="s">
        <v>36</v>
      </c>
      <c r="D6" t="s">
        <v>28</v>
      </c>
      <c r="E6" t="s">
        <v>37</v>
      </c>
      <c r="F6" t="s">
        <v>38</v>
      </c>
      <c r="G6" t="s">
        <v>20</v>
      </c>
      <c r="H6" t="s">
        <v>39</v>
      </c>
      <c r="I6">
        <v>0</v>
      </c>
      <c r="J6">
        <v>0.73</v>
      </c>
      <c r="K6">
        <v>0.42</v>
      </c>
      <c r="L6">
        <v>0.5</v>
      </c>
      <c r="M6">
        <v>191.09</v>
      </c>
      <c r="N6">
        <v>20</v>
      </c>
      <c r="O6">
        <f>SUM($M6:N6)</f>
        <v>211.09</v>
      </c>
    </row>
    <row r="7" spans="1:15">
      <c r="A7" t="s">
        <v>40</v>
      </c>
      <c r="B7" s="2">
        <v>45669</v>
      </c>
      <c r="C7" t="s">
        <v>41</v>
      </c>
      <c r="D7" t="s">
        <v>28</v>
      </c>
      <c r="E7" t="s">
        <v>42</v>
      </c>
      <c r="F7" t="s">
        <v>30</v>
      </c>
      <c r="G7" t="s">
        <v>20</v>
      </c>
      <c r="H7" t="s">
        <v>25</v>
      </c>
      <c r="I7">
        <v>0</v>
      </c>
      <c r="J7">
        <v>1.07</v>
      </c>
      <c r="K7">
        <v>1.8</v>
      </c>
      <c r="L7">
        <v>2.2200000000000002</v>
      </c>
      <c r="M7">
        <v>94.27</v>
      </c>
      <c r="N7">
        <v>88.8</v>
      </c>
      <c r="O7">
        <f>SUM($M7:N7)</f>
        <v>183.07</v>
      </c>
    </row>
    <row r="8" spans="1:15">
      <c r="A8" t="s">
        <v>43</v>
      </c>
      <c r="B8" s="2">
        <v>45670</v>
      </c>
      <c r="C8" t="s">
        <v>36</v>
      </c>
      <c r="D8" t="s">
        <v>44</v>
      </c>
      <c r="E8" t="s">
        <v>24</v>
      </c>
      <c r="F8" t="s">
        <v>30</v>
      </c>
      <c r="G8" t="s">
        <v>20</v>
      </c>
      <c r="H8" t="s">
        <v>45</v>
      </c>
      <c r="I8">
        <v>1</v>
      </c>
      <c r="J8">
        <v>0.17</v>
      </c>
      <c r="K8">
        <v>3.95</v>
      </c>
      <c r="L8">
        <v>4.6399999999999997</v>
      </c>
      <c r="M8">
        <v>364.84</v>
      </c>
      <c r="N8">
        <v>232</v>
      </c>
      <c r="O8">
        <f>SUM($M8:N8)</f>
        <v>596.83999999999992</v>
      </c>
    </row>
    <row r="9" spans="1:15">
      <c r="A9" t="s">
        <v>46</v>
      </c>
      <c r="B9" s="2">
        <v>45671</v>
      </c>
      <c r="C9" t="s">
        <v>16</v>
      </c>
      <c r="D9" t="s">
        <v>44</v>
      </c>
      <c r="E9" t="s">
        <v>47</v>
      </c>
      <c r="F9" t="s">
        <v>30</v>
      </c>
      <c r="G9" t="s">
        <v>20</v>
      </c>
      <c r="H9" t="s">
        <v>34</v>
      </c>
      <c r="I9">
        <v>1</v>
      </c>
      <c r="J9">
        <v>5.59</v>
      </c>
      <c r="K9">
        <v>4.84</v>
      </c>
      <c r="L9">
        <v>6.13</v>
      </c>
      <c r="M9">
        <v>1136.31</v>
      </c>
      <c r="N9">
        <v>275.85000000000002</v>
      </c>
      <c r="O9">
        <f>SUM($M9:N9)</f>
        <v>1412.1599999999999</v>
      </c>
    </row>
    <row r="10" spans="1:15">
      <c r="A10" t="s">
        <v>48</v>
      </c>
      <c r="B10" s="2">
        <v>45673</v>
      </c>
      <c r="C10" t="s">
        <v>49</v>
      </c>
      <c r="D10" t="s">
        <v>28</v>
      </c>
      <c r="E10" t="s">
        <v>37</v>
      </c>
      <c r="F10" t="s">
        <v>38</v>
      </c>
      <c r="G10" t="s">
        <v>20</v>
      </c>
      <c r="H10" t="s">
        <v>34</v>
      </c>
      <c r="I10">
        <v>0</v>
      </c>
      <c r="J10">
        <v>0</v>
      </c>
      <c r="K10">
        <v>1.55</v>
      </c>
      <c r="L10">
        <v>1.32</v>
      </c>
      <c r="M10">
        <v>224.34</v>
      </c>
      <c r="N10">
        <v>46.2</v>
      </c>
      <c r="O10">
        <f>SUM($M10:N10)</f>
        <v>270.54000000000002</v>
      </c>
    </row>
    <row r="11" spans="1:15">
      <c r="A11" t="s">
        <v>50</v>
      </c>
      <c r="B11" s="2">
        <v>45673</v>
      </c>
      <c r="C11" t="s">
        <v>16</v>
      </c>
      <c r="D11" t="s">
        <v>44</v>
      </c>
      <c r="E11" t="s">
        <v>51</v>
      </c>
      <c r="F11" t="s">
        <v>30</v>
      </c>
      <c r="G11" t="s">
        <v>20</v>
      </c>
      <c r="H11" t="s">
        <v>34</v>
      </c>
      <c r="I11">
        <v>1</v>
      </c>
      <c r="J11">
        <v>6.97</v>
      </c>
      <c r="K11">
        <v>5.52</v>
      </c>
      <c r="L11">
        <v>7.21</v>
      </c>
      <c r="M11">
        <v>993.03</v>
      </c>
      <c r="N11">
        <v>360.5</v>
      </c>
      <c r="O11">
        <f>SUM($M11:N11)</f>
        <v>1353.53</v>
      </c>
    </row>
    <row r="12" spans="1:15">
      <c r="A12" t="s">
        <v>52</v>
      </c>
      <c r="B12" s="2">
        <v>45679</v>
      </c>
      <c r="C12" t="s">
        <v>53</v>
      </c>
      <c r="D12" t="s">
        <v>44</v>
      </c>
      <c r="E12" t="s">
        <v>54</v>
      </c>
      <c r="F12" t="s">
        <v>30</v>
      </c>
      <c r="G12" t="s">
        <v>20</v>
      </c>
      <c r="H12" t="s">
        <v>55</v>
      </c>
      <c r="I12">
        <v>1</v>
      </c>
      <c r="J12">
        <v>4.0199999999999996</v>
      </c>
      <c r="K12">
        <v>6.72</v>
      </c>
      <c r="L12">
        <v>7.36</v>
      </c>
      <c r="M12">
        <v>876.31</v>
      </c>
      <c r="N12">
        <v>257.60000000000002</v>
      </c>
      <c r="O12">
        <f>SUM($M12:N12)</f>
        <v>1133.9099999999999</v>
      </c>
    </row>
    <row r="13" spans="1:15">
      <c r="A13" t="s">
        <v>56</v>
      </c>
      <c r="B13" s="2">
        <v>45681</v>
      </c>
      <c r="C13" t="s">
        <v>32</v>
      </c>
      <c r="D13" t="s">
        <v>28</v>
      </c>
      <c r="E13" t="s">
        <v>29</v>
      </c>
      <c r="F13" t="s">
        <v>38</v>
      </c>
      <c r="G13" t="s">
        <v>57</v>
      </c>
      <c r="H13" t="s">
        <v>58</v>
      </c>
      <c r="I13">
        <v>0</v>
      </c>
      <c r="J13">
        <v>0.9</v>
      </c>
      <c r="K13">
        <v>1.71</v>
      </c>
      <c r="L13">
        <v>1.69</v>
      </c>
      <c r="M13">
        <v>110.06</v>
      </c>
      <c r="N13">
        <v>67.599999999999994</v>
      </c>
      <c r="O13">
        <f>SUM($M13:N13)</f>
        <v>177.66</v>
      </c>
    </row>
    <row r="14" spans="1:15">
      <c r="A14" t="s">
        <v>59</v>
      </c>
      <c r="B14" s="2">
        <v>45681</v>
      </c>
      <c r="C14" t="s">
        <v>53</v>
      </c>
      <c r="D14" t="s">
        <v>28</v>
      </c>
      <c r="E14" t="s">
        <v>33</v>
      </c>
      <c r="F14" t="s">
        <v>38</v>
      </c>
      <c r="G14" t="s">
        <v>20</v>
      </c>
      <c r="H14" t="s">
        <v>55</v>
      </c>
      <c r="I14">
        <v>0</v>
      </c>
      <c r="J14">
        <v>0.9</v>
      </c>
      <c r="K14">
        <v>0.71</v>
      </c>
      <c r="L14">
        <v>0.85</v>
      </c>
      <c r="M14">
        <v>320.07</v>
      </c>
      <c r="N14">
        <v>42.5</v>
      </c>
      <c r="O14">
        <f>SUM($M14:N14)</f>
        <v>362.57</v>
      </c>
    </row>
    <row r="15" spans="1:15">
      <c r="A15" t="s">
        <v>60</v>
      </c>
      <c r="B15" s="2">
        <v>45682</v>
      </c>
      <c r="C15" t="s">
        <v>61</v>
      </c>
      <c r="D15" t="s">
        <v>44</v>
      </c>
      <c r="E15" t="s">
        <v>47</v>
      </c>
      <c r="F15" t="s">
        <v>62</v>
      </c>
      <c r="G15" t="s">
        <v>63</v>
      </c>
      <c r="H15" t="s">
        <v>39</v>
      </c>
      <c r="I15">
        <v>1</v>
      </c>
      <c r="J15">
        <v>1.69</v>
      </c>
      <c r="K15">
        <v>2.0299999999999998</v>
      </c>
      <c r="L15">
        <v>2.29</v>
      </c>
      <c r="M15">
        <v>689.82</v>
      </c>
      <c r="N15">
        <v>103.05</v>
      </c>
      <c r="O15">
        <f>SUM($M15:N15)</f>
        <v>792.87</v>
      </c>
    </row>
    <row r="16" spans="1:15">
      <c r="A16" t="s">
        <v>64</v>
      </c>
      <c r="B16" s="2">
        <v>45685</v>
      </c>
      <c r="C16" t="s">
        <v>65</v>
      </c>
      <c r="D16" t="s">
        <v>28</v>
      </c>
      <c r="E16" t="s">
        <v>33</v>
      </c>
      <c r="F16" t="s">
        <v>38</v>
      </c>
      <c r="G16" t="s">
        <v>20</v>
      </c>
      <c r="H16" t="s">
        <v>25</v>
      </c>
      <c r="I16">
        <v>0</v>
      </c>
      <c r="J16">
        <v>1.07</v>
      </c>
      <c r="K16">
        <v>1.03</v>
      </c>
      <c r="L16">
        <v>1.29</v>
      </c>
      <c r="M16">
        <v>182.17</v>
      </c>
      <c r="N16">
        <v>64.5</v>
      </c>
      <c r="O16">
        <f>SUM($M16:N16)</f>
        <v>246.67</v>
      </c>
    </row>
    <row r="17" spans="1:15">
      <c r="A17" t="s">
        <v>66</v>
      </c>
      <c r="B17" s="2">
        <v>45686</v>
      </c>
      <c r="C17" t="s">
        <v>27</v>
      </c>
      <c r="D17" t="s">
        <v>44</v>
      </c>
      <c r="E17" t="s">
        <v>51</v>
      </c>
      <c r="F17" t="s">
        <v>30</v>
      </c>
      <c r="G17" t="s">
        <v>20</v>
      </c>
      <c r="H17" t="s">
        <v>45</v>
      </c>
      <c r="I17">
        <v>1</v>
      </c>
      <c r="J17">
        <v>1.17</v>
      </c>
      <c r="K17">
        <v>2.68</v>
      </c>
      <c r="L17">
        <v>2.89</v>
      </c>
      <c r="M17">
        <v>797.44</v>
      </c>
      <c r="N17">
        <v>101.15</v>
      </c>
      <c r="O17">
        <f>SUM($M17:N17)</f>
        <v>898.59</v>
      </c>
    </row>
    <row r="18" spans="1:15">
      <c r="A18" t="s">
        <v>67</v>
      </c>
      <c r="B18" s="2">
        <v>45686</v>
      </c>
      <c r="C18" t="s">
        <v>41</v>
      </c>
      <c r="D18" t="s">
        <v>17</v>
      </c>
      <c r="E18" t="s">
        <v>68</v>
      </c>
      <c r="F18" t="s">
        <v>19</v>
      </c>
      <c r="G18" t="s">
        <v>20</v>
      </c>
      <c r="H18" t="s">
        <v>69</v>
      </c>
      <c r="I18">
        <v>1</v>
      </c>
      <c r="J18">
        <v>4.9400000000000004</v>
      </c>
      <c r="K18">
        <v>9.5</v>
      </c>
      <c r="L18">
        <v>10.69</v>
      </c>
      <c r="M18">
        <v>2007.45</v>
      </c>
      <c r="N18">
        <v>534.5</v>
      </c>
      <c r="O18">
        <f>SUM($M18:N18)</f>
        <v>2541.9499999999998</v>
      </c>
    </row>
    <row r="19" spans="1:15">
      <c r="A19" t="s">
        <v>70</v>
      </c>
      <c r="B19" s="2">
        <v>45688</v>
      </c>
      <c r="C19" t="s">
        <v>49</v>
      </c>
      <c r="D19" t="s">
        <v>44</v>
      </c>
      <c r="E19" t="s">
        <v>47</v>
      </c>
      <c r="F19" t="s">
        <v>62</v>
      </c>
      <c r="G19" t="s">
        <v>63</v>
      </c>
      <c r="H19" t="s">
        <v>21</v>
      </c>
      <c r="I19">
        <v>1</v>
      </c>
      <c r="J19">
        <v>1.9</v>
      </c>
      <c r="K19">
        <v>3.46</v>
      </c>
      <c r="L19">
        <v>3.99</v>
      </c>
      <c r="M19">
        <v>561.72</v>
      </c>
      <c r="N19">
        <v>139.65</v>
      </c>
      <c r="O19">
        <f>SUM($M19:N19)</f>
        <v>701.37</v>
      </c>
    </row>
    <row r="20" spans="1:15">
      <c r="A20" t="s">
        <v>71</v>
      </c>
      <c r="B20" s="2">
        <v>45688</v>
      </c>
      <c r="C20" t="s">
        <v>72</v>
      </c>
      <c r="D20" t="s">
        <v>44</v>
      </c>
      <c r="E20" t="s">
        <v>51</v>
      </c>
      <c r="F20" t="s">
        <v>30</v>
      </c>
      <c r="G20" t="s">
        <v>20</v>
      </c>
      <c r="H20" t="s">
        <v>39</v>
      </c>
      <c r="I20">
        <v>1</v>
      </c>
      <c r="J20">
        <v>3.06</v>
      </c>
      <c r="K20">
        <v>2.84</v>
      </c>
      <c r="L20">
        <v>2.66</v>
      </c>
      <c r="M20">
        <v>780.31</v>
      </c>
      <c r="N20">
        <v>106.4</v>
      </c>
      <c r="O20">
        <f>SUM($M20:N20)</f>
        <v>886.70999999999992</v>
      </c>
    </row>
    <row r="21" spans="1:15">
      <c r="A21" t="s">
        <v>73</v>
      </c>
      <c r="B21" s="2">
        <v>45689</v>
      </c>
      <c r="C21" t="s">
        <v>72</v>
      </c>
      <c r="D21" t="s">
        <v>17</v>
      </c>
      <c r="E21" t="s">
        <v>18</v>
      </c>
      <c r="F21" t="s">
        <v>62</v>
      </c>
      <c r="G21" t="s">
        <v>20</v>
      </c>
      <c r="H21" t="s">
        <v>21</v>
      </c>
      <c r="I21">
        <v>1</v>
      </c>
      <c r="J21">
        <v>5.69</v>
      </c>
      <c r="K21">
        <v>7.06</v>
      </c>
      <c r="L21">
        <v>7.7</v>
      </c>
      <c r="M21">
        <v>1616.26</v>
      </c>
      <c r="N21">
        <v>308</v>
      </c>
      <c r="O21">
        <f>SUM($M21:N21)</f>
        <v>1924.26</v>
      </c>
    </row>
    <row r="22" spans="1:15">
      <c r="A22" t="s">
        <v>74</v>
      </c>
      <c r="B22" s="2">
        <v>45689</v>
      </c>
      <c r="C22" t="s">
        <v>16</v>
      </c>
      <c r="D22" t="s">
        <v>17</v>
      </c>
      <c r="E22" t="s">
        <v>68</v>
      </c>
      <c r="F22" t="s">
        <v>62</v>
      </c>
      <c r="G22" t="s">
        <v>20</v>
      </c>
      <c r="H22" t="s">
        <v>34</v>
      </c>
      <c r="I22">
        <v>1</v>
      </c>
      <c r="J22">
        <v>13.47</v>
      </c>
      <c r="K22">
        <v>15.33</v>
      </c>
      <c r="L22">
        <v>17.57</v>
      </c>
      <c r="M22">
        <v>898.44</v>
      </c>
      <c r="N22">
        <v>614.95000000000005</v>
      </c>
      <c r="O22">
        <f>SUM($M22:N22)</f>
        <v>1513.39</v>
      </c>
    </row>
    <row r="23" spans="1:15">
      <c r="A23" t="s">
        <v>75</v>
      </c>
      <c r="B23" s="2">
        <v>45690</v>
      </c>
      <c r="C23" t="s">
        <v>49</v>
      </c>
      <c r="D23" t="s">
        <v>28</v>
      </c>
      <c r="E23" t="s">
        <v>37</v>
      </c>
      <c r="F23" t="s">
        <v>38</v>
      </c>
      <c r="G23" t="s">
        <v>20</v>
      </c>
      <c r="H23" t="s">
        <v>69</v>
      </c>
      <c r="I23">
        <v>0</v>
      </c>
      <c r="J23">
        <v>0.64</v>
      </c>
      <c r="K23">
        <v>1.37</v>
      </c>
      <c r="L23">
        <v>1.82</v>
      </c>
      <c r="M23">
        <v>234.4</v>
      </c>
      <c r="N23">
        <v>72.8</v>
      </c>
      <c r="O23">
        <f>SUM($M23:N23)</f>
        <v>307.2</v>
      </c>
    </row>
    <row r="24" spans="1:15">
      <c r="A24" t="s">
        <v>76</v>
      </c>
      <c r="B24" s="2">
        <v>45690</v>
      </c>
      <c r="C24" t="s">
        <v>72</v>
      </c>
      <c r="D24" t="s">
        <v>28</v>
      </c>
      <c r="E24" t="s">
        <v>42</v>
      </c>
      <c r="F24" t="s">
        <v>38</v>
      </c>
      <c r="G24" t="s">
        <v>20</v>
      </c>
      <c r="H24" t="s">
        <v>34</v>
      </c>
      <c r="I24">
        <v>0</v>
      </c>
      <c r="J24">
        <v>0</v>
      </c>
      <c r="K24">
        <v>0.41</v>
      </c>
      <c r="L24">
        <v>0.5</v>
      </c>
      <c r="M24">
        <v>263.32</v>
      </c>
      <c r="N24">
        <v>22.5</v>
      </c>
      <c r="O24">
        <f>SUM($M24:N24)</f>
        <v>285.82</v>
      </c>
    </row>
    <row r="25" spans="1:15">
      <c r="A25" t="s">
        <v>77</v>
      </c>
      <c r="B25" s="2">
        <v>45691</v>
      </c>
      <c r="C25" t="s">
        <v>16</v>
      </c>
      <c r="D25" t="s">
        <v>28</v>
      </c>
      <c r="E25" t="s">
        <v>29</v>
      </c>
      <c r="F25" t="s">
        <v>38</v>
      </c>
      <c r="G25" t="s">
        <v>20</v>
      </c>
      <c r="H25" t="s">
        <v>45</v>
      </c>
      <c r="I25">
        <v>0</v>
      </c>
      <c r="J25">
        <v>0</v>
      </c>
      <c r="K25">
        <v>2.27</v>
      </c>
      <c r="L25">
        <v>2.14</v>
      </c>
      <c r="M25">
        <v>226.23</v>
      </c>
      <c r="N25">
        <v>96.3</v>
      </c>
      <c r="O25">
        <f>SUM($M25:N25)</f>
        <v>322.52999999999997</v>
      </c>
    </row>
    <row r="26" spans="1:15">
      <c r="A26" t="s">
        <v>78</v>
      </c>
      <c r="B26" s="2">
        <v>45691</v>
      </c>
      <c r="C26" t="s">
        <v>79</v>
      </c>
      <c r="D26" t="s">
        <v>44</v>
      </c>
      <c r="E26" t="s">
        <v>54</v>
      </c>
      <c r="F26" t="s">
        <v>30</v>
      </c>
      <c r="G26" t="s">
        <v>57</v>
      </c>
      <c r="H26" t="s">
        <v>25</v>
      </c>
      <c r="I26">
        <v>1</v>
      </c>
      <c r="J26">
        <v>1.55</v>
      </c>
      <c r="K26">
        <v>4.72</v>
      </c>
      <c r="L26">
        <v>5.67</v>
      </c>
      <c r="M26">
        <v>559.39</v>
      </c>
      <c r="N26">
        <v>198.45</v>
      </c>
      <c r="O26">
        <f>SUM($M26:N26)</f>
        <v>757.83999999999992</v>
      </c>
    </row>
    <row r="27" spans="1:15">
      <c r="A27" t="s">
        <v>80</v>
      </c>
      <c r="B27" s="2">
        <v>45692</v>
      </c>
      <c r="C27" t="s">
        <v>23</v>
      </c>
      <c r="D27" t="s">
        <v>28</v>
      </c>
      <c r="E27" t="s">
        <v>29</v>
      </c>
      <c r="F27" t="s">
        <v>30</v>
      </c>
      <c r="G27" t="s">
        <v>20</v>
      </c>
      <c r="H27" t="s">
        <v>58</v>
      </c>
      <c r="I27">
        <v>0</v>
      </c>
      <c r="J27">
        <v>0.31</v>
      </c>
      <c r="K27">
        <v>0.35</v>
      </c>
      <c r="L27">
        <v>0.5</v>
      </c>
      <c r="M27">
        <v>203.28</v>
      </c>
      <c r="N27">
        <v>20</v>
      </c>
      <c r="O27">
        <f>SUM($M27:N27)</f>
        <v>223.28</v>
      </c>
    </row>
    <row r="28" spans="1:15">
      <c r="A28" t="s">
        <v>81</v>
      </c>
      <c r="B28" s="2">
        <v>45692</v>
      </c>
      <c r="C28" t="s">
        <v>27</v>
      </c>
      <c r="D28" t="s">
        <v>44</v>
      </c>
      <c r="E28" t="s">
        <v>24</v>
      </c>
      <c r="F28" t="s">
        <v>62</v>
      </c>
      <c r="G28" t="s">
        <v>20</v>
      </c>
      <c r="H28" t="s">
        <v>34</v>
      </c>
      <c r="I28">
        <v>1</v>
      </c>
      <c r="J28">
        <v>4.3099999999999996</v>
      </c>
      <c r="K28">
        <v>4.45</v>
      </c>
      <c r="L28">
        <v>5.62</v>
      </c>
      <c r="M28">
        <v>1086.1199999999999</v>
      </c>
      <c r="N28">
        <v>252.9</v>
      </c>
      <c r="O28">
        <f>SUM($M28:N28)</f>
        <v>1339.02</v>
      </c>
    </row>
    <row r="29" spans="1:15">
      <c r="A29" t="s">
        <v>82</v>
      </c>
      <c r="B29" s="2">
        <v>45693</v>
      </c>
      <c r="C29" t="s">
        <v>49</v>
      </c>
      <c r="D29" t="s">
        <v>44</v>
      </c>
      <c r="E29" t="s">
        <v>54</v>
      </c>
      <c r="F29" t="s">
        <v>30</v>
      </c>
      <c r="G29" t="s">
        <v>20</v>
      </c>
      <c r="H29" t="s">
        <v>45</v>
      </c>
      <c r="I29">
        <v>1</v>
      </c>
      <c r="J29">
        <v>2.6</v>
      </c>
      <c r="K29">
        <v>1.6</v>
      </c>
      <c r="L29">
        <v>1.33</v>
      </c>
      <c r="M29">
        <v>643.45000000000005</v>
      </c>
      <c r="N29">
        <v>66.5</v>
      </c>
      <c r="O29">
        <f>SUM($M29:N29)</f>
        <v>709.95</v>
      </c>
    </row>
    <row r="30" spans="1:15">
      <c r="A30" t="s">
        <v>83</v>
      </c>
      <c r="B30" s="2">
        <v>45693</v>
      </c>
      <c r="C30" t="s">
        <v>53</v>
      </c>
      <c r="D30" t="s">
        <v>17</v>
      </c>
      <c r="E30" t="s">
        <v>54</v>
      </c>
      <c r="F30" t="s">
        <v>19</v>
      </c>
      <c r="G30" t="s">
        <v>20</v>
      </c>
      <c r="H30" t="s">
        <v>21</v>
      </c>
      <c r="I30">
        <v>2</v>
      </c>
      <c r="J30">
        <v>6.44</v>
      </c>
      <c r="K30">
        <v>4.53</v>
      </c>
      <c r="L30">
        <v>4.21</v>
      </c>
      <c r="M30">
        <v>3035.81</v>
      </c>
      <c r="N30">
        <v>147.35</v>
      </c>
      <c r="O30">
        <f>SUM($M30:N30)</f>
        <v>3183.16</v>
      </c>
    </row>
    <row r="31" spans="1:15">
      <c r="A31" t="s">
        <v>84</v>
      </c>
      <c r="B31" s="2">
        <v>45695</v>
      </c>
      <c r="C31" t="s">
        <v>72</v>
      </c>
      <c r="D31" t="s">
        <v>44</v>
      </c>
      <c r="E31" t="s">
        <v>68</v>
      </c>
      <c r="F31" t="s">
        <v>30</v>
      </c>
      <c r="G31" t="s">
        <v>20</v>
      </c>
      <c r="H31" t="s">
        <v>25</v>
      </c>
      <c r="I31">
        <v>1</v>
      </c>
      <c r="J31">
        <v>1.45</v>
      </c>
      <c r="K31">
        <v>2.29</v>
      </c>
      <c r="L31">
        <v>2.54</v>
      </c>
      <c r="M31">
        <v>468.28</v>
      </c>
      <c r="N31">
        <v>114.3</v>
      </c>
      <c r="O31">
        <f>SUM($M31:N31)</f>
        <v>582.57999999999993</v>
      </c>
    </row>
    <row r="32" spans="1:15">
      <c r="A32" t="s">
        <v>85</v>
      </c>
      <c r="B32" s="2">
        <v>45696</v>
      </c>
      <c r="C32" t="s">
        <v>65</v>
      </c>
      <c r="D32" t="s">
        <v>44</v>
      </c>
      <c r="E32" t="s">
        <v>86</v>
      </c>
      <c r="F32" t="s">
        <v>30</v>
      </c>
      <c r="G32" t="s">
        <v>57</v>
      </c>
      <c r="H32" t="s">
        <v>55</v>
      </c>
      <c r="I32">
        <v>1</v>
      </c>
      <c r="J32">
        <v>2.37</v>
      </c>
      <c r="K32">
        <v>2.4900000000000002</v>
      </c>
      <c r="L32">
        <v>2.95</v>
      </c>
      <c r="M32">
        <v>1056.27</v>
      </c>
      <c r="N32">
        <v>118</v>
      </c>
      <c r="O32">
        <f>SUM($M32:N32)</f>
        <v>1174.27</v>
      </c>
    </row>
    <row r="33" spans="1:15">
      <c r="A33" t="s">
        <v>87</v>
      </c>
      <c r="B33" s="2">
        <v>45699</v>
      </c>
      <c r="C33" t="s">
        <v>32</v>
      </c>
      <c r="D33" t="s">
        <v>44</v>
      </c>
      <c r="E33" t="s">
        <v>24</v>
      </c>
      <c r="F33" t="s">
        <v>30</v>
      </c>
      <c r="G33" t="s">
        <v>20</v>
      </c>
      <c r="H33" t="s">
        <v>21</v>
      </c>
      <c r="I33">
        <v>1</v>
      </c>
      <c r="J33">
        <v>7.45</v>
      </c>
      <c r="K33">
        <v>7.97</v>
      </c>
      <c r="L33">
        <v>6.41</v>
      </c>
      <c r="M33">
        <v>658.86</v>
      </c>
      <c r="N33">
        <v>288.45</v>
      </c>
      <c r="O33">
        <f>SUM($M33:N33)</f>
        <v>947.31</v>
      </c>
    </row>
    <row r="34" spans="1:15">
      <c r="A34" t="s">
        <v>88</v>
      </c>
      <c r="B34" s="2">
        <v>45701</v>
      </c>
      <c r="C34" t="s">
        <v>16</v>
      </c>
      <c r="D34" t="s">
        <v>44</v>
      </c>
      <c r="E34" t="s">
        <v>18</v>
      </c>
      <c r="F34" t="s">
        <v>30</v>
      </c>
      <c r="G34" t="s">
        <v>20</v>
      </c>
      <c r="H34" t="s">
        <v>34</v>
      </c>
      <c r="I34">
        <v>1</v>
      </c>
      <c r="J34">
        <v>6.23</v>
      </c>
      <c r="K34">
        <v>0.68</v>
      </c>
      <c r="L34">
        <v>0.8</v>
      </c>
      <c r="M34">
        <v>908.98</v>
      </c>
      <c r="N34">
        <v>40</v>
      </c>
      <c r="O34">
        <f>SUM($M34:N34)</f>
        <v>948.98</v>
      </c>
    </row>
    <row r="35" spans="1:15">
      <c r="A35" t="s">
        <v>89</v>
      </c>
      <c r="B35" s="2">
        <v>45704</v>
      </c>
      <c r="C35" t="s">
        <v>72</v>
      </c>
      <c r="D35" t="s">
        <v>17</v>
      </c>
      <c r="E35" t="s">
        <v>24</v>
      </c>
      <c r="F35" t="s">
        <v>62</v>
      </c>
      <c r="G35" t="s">
        <v>20</v>
      </c>
      <c r="H35" t="s">
        <v>21</v>
      </c>
      <c r="I35">
        <v>1</v>
      </c>
      <c r="J35">
        <v>2.7</v>
      </c>
      <c r="K35">
        <v>7.09</v>
      </c>
      <c r="L35">
        <v>6.41</v>
      </c>
      <c r="M35">
        <v>1278.02</v>
      </c>
      <c r="N35">
        <v>288.45</v>
      </c>
      <c r="O35">
        <f>SUM($M35:N35)</f>
        <v>1566.47</v>
      </c>
    </row>
    <row r="36" spans="1:15">
      <c r="A36" t="s">
        <v>90</v>
      </c>
      <c r="B36" s="2">
        <v>45704</v>
      </c>
      <c r="C36" t="s">
        <v>41</v>
      </c>
      <c r="D36" t="s">
        <v>17</v>
      </c>
      <c r="E36" t="s">
        <v>51</v>
      </c>
      <c r="F36" t="s">
        <v>19</v>
      </c>
      <c r="G36" t="s">
        <v>20</v>
      </c>
      <c r="H36" t="s">
        <v>21</v>
      </c>
      <c r="I36">
        <v>1</v>
      </c>
      <c r="J36">
        <v>17.27</v>
      </c>
      <c r="K36">
        <v>8.86</v>
      </c>
      <c r="L36">
        <v>7.69</v>
      </c>
      <c r="M36">
        <v>1311.82</v>
      </c>
      <c r="N36">
        <v>307.60000000000002</v>
      </c>
      <c r="O36">
        <f>SUM($M36:N36)</f>
        <v>1619.42</v>
      </c>
    </row>
    <row r="37" spans="1:15">
      <c r="A37" t="s">
        <v>91</v>
      </c>
      <c r="B37" s="2">
        <v>45704</v>
      </c>
      <c r="C37" t="s">
        <v>27</v>
      </c>
      <c r="D37" t="s">
        <v>28</v>
      </c>
      <c r="E37" t="s">
        <v>33</v>
      </c>
      <c r="F37" t="s">
        <v>38</v>
      </c>
      <c r="G37" t="s">
        <v>20</v>
      </c>
      <c r="H37" t="s">
        <v>25</v>
      </c>
      <c r="I37">
        <v>0</v>
      </c>
      <c r="J37">
        <v>0.44</v>
      </c>
      <c r="K37">
        <v>1.79</v>
      </c>
      <c r="L37">
        <v>2.2400000000000002</v>
      </c>
      <c r="M37">
        <v>124.08</v>
      </c>
      <c r="N37">
        <v>89.6</v>
      </c>
      <c r="O37">
        <f>SUM($M37:N37)</f>
        <v>213.68</v>
      </c>
    </row>
    <row r="38" spans="1:15">
      <c r="A38" t="s">
        <v>92</v>
      </c>
      <c r="B38" s="2">
        <v>45705</v>
      </c>
      <c r="C38" t="s">
        <v>36</v>
      </c>
      <c r="D38" t="s">
        <v>44</v>
      </c>
      <c r="E38" t="s">
        <v>68</v>
      </c>
      <c r="F38" t="s">
        <v>30</v>
      </c>
      <c r="G38" t="s">
        <v>20</v>
      </c>
      <c r="H38" t="s">
        <v>58</v>
      </c>
      <c r="I38">
        <v>1</v>
      </c>
      <c r="J38">
        <v>1.78</v>
      </c>
      <c r="K38">
        <v>0.67</v>
      </c>
      <c r="L38">
        <v>0.67</v>
      </c>
      <c r="M38">
        <v>555.17999999999995</v>
      </c>
      <c r="N38">
        <v>26.8</v>
      </c>
      <c r="O38">
        <f>SUM($M38:N38)</f>
        <v>581.9799999999999</v>
      </c>
    </row>
    <row r="39" spans="1:15">
      <c r="A39" t="s">
        <v>93</v>
      </c>
      <c r="B39" s="2">
        <v>45709</v>
      </c>
      <c r="C39" t="s">
        <v>53</v>
      </c>
      <c r="D39" t="s">
        <v>28</v>
      </c>
      <c r="E39" t="s">
        <v>33</v>
      </c>
      <c r="F39" t="s">
        <v>30</v>
      </c>
      <c r="G39" t="s">
        <v>20</v>
      </c>
      <c r="H39" t="s">
        <v>45</v>
      </c>
      <c r="I39">
        <v>0</v>
      </c>
      <c r="J39">
        <v>0.36</v>
      </c>
      <c r="K39">
        <v>1.81</v>
      </c>
      <c r="L39">
        <v>1.72</v>
      </c>
      <c r="M39">
        <v>195.7</v>
      </c>
      <c r="N39">
        <v>60.2</v>
      </c>
      <c r="O39">
        <f>SUM($M39:N39)</f>
        <v>255.89999999999998</v>
      </c>
    </row>
    <row r="40" spans="1:15">
      <c r="A40" t="s">
        <v>94</v>
      </c>
      <c r="B40" s="2">
        <v>45709</v>
      </c>
      <c r="C40" t="s">
        <v>61</v>
      </c>
      <c r="D40" t="s">
        <v>28</v>
      </c>
      <c r="E40" t="s">
        <v>42</v>
      </c>
      <c r="F40" t="s">
        <v>30</v>
      </c>
      <c r="G40" t="s">
        <v>20</v>
      </c>
      <c r="H40" t="s">
        <v>58</v>
      </c>
      <c r="I40">
        <v>0</v>
      </c>
      <c r="J40">
        <v>0.73</v>
      </c>
      <c r="K40">
        <v>1.43</v>
      </c>
      <c r="L40">
        <v>1.33</v>
      </c>
      <c r="M40">
        <v>145.46</v>
      </c>
      <c r="N40">
        <v>66.5</v>
      </c>
      <c r="O40">
        <f>SUM($M40:N40)</f>
        <v>211.96</v>
      </c>
    </row>
    <row r="41" spans="1:15">
      <c r="A41" t="s">
        <v>95</v>
      </c>
      <c r="B41" s="2">
        <v>45709</v>
      </c>
      <c r="C41" t="s">
        <v>41</v>
      </c>
      <c r="D41" t="s">
        <v>28</v>
      </c>
      <c r="E41" t="s">
        <v>29</v>
      </c>
      <c r="F41" t="s">
        <v>38</v>
      </c>
      <c r="G41" t="s">
        <v>20</v>
      </c>
      <c r="H41" t="s">
        <v>25</v>
      </c>
      <c r="I41">
        <v>0</v>
      </c>
      <c r="J41">
        <v>0.52</v>
      </c>
      <c r="K41">
        <v>1.65</v>
      </c>
      <c r="L41">
        <v>2.12</v>
      </c>
      <c r="M41">
        <v>179.29</v>
      </c>
      <c r="N41">
        <v>84.8</v>
      </c>
      <c r="O41">
        <f>SUM($M41:N41)</f>
        <v>264.08999999999997</v>
      </c>
    </row>
    <row r="42" spans="1:15">
      <c r="A42" t="s">
        <v>96</v>
      </c>
      <c r="B42" s="2">
        <v>45710</v>
      </c>
      <c r="C42" t="s">
        <v>65</v>
      </c>
      <c r="D42" t="s">
        <v>44</v>
      </c>
      <c r="E42" t="s">
        <v>47</v>
      </c>
      <c r="F42" t="s">
        <v>30</v>
      </c>
      <c r="G42" t="s">
        <v>20</v>
      </c>
      <c r="H42" t="s">
        <v>21</v>
      </c>
      <c r="I42">
        <v>1</v>
      </c>
      <c r="J42">
        <v>5.09</v>
      </c>
      <c r="K42">
        <v>4.0199999999999996</v>
      </c>
      <c r="L42">
        <v>3.69</v>
      </c>
      <c r="M42">
        <v>597.47</v>
      </c>
      <c r="N42">
        <v>184.5</v>
      </c>
      <c r="O42">
        <f>SUM($M42:N42)</f>
        <v>781.97</v>
      </c>
    </row>
    <row r="43" spans="1:15">
      <c r="A43" t="s">
        <v>97</v>
      </c>
      <c r="B43" s="2">
        <v>45713</v>
      </c>
      <c r="C43" t="s">
        <v>32</v>
      </c>
      <c r="D43" t="s">
        <v>28</v>
      </c>
      <c r="E43" t="s">
        <v>33</v>
      </c>
      <c r="F43" t="s">
        <v>30</v>
      </c>
      <c r="G43" t="s">
        <v>63</v>
      </c>
      <c r="H43" t="s">
        <v>45</v>
      </c>
      <c r="I43">
        <v>0</v>
      </c>
      <c r="J43">
        <v>0</v>
      </c>
      <c r="K43">
        <v>1.54</v>
      </c>
      <c r="L43">
        <v>1.89</v>
      </c>
      <c r="M43">
        <v>171.47</v>
      </c>
      <c r="N43">
        <v>85.05</v>
      </c>
      <c r="O43">
        <f>SUM($M43:N43)</f>
        <v>256.52</v>
      </c>
    </row>
    <row r="44" spans="1:15">
      <c r="A44" t="s">
        <v>98</v>
      </c>
      <c r="B44" s="2">
        <v>45713</v>
      </c>
      <c r="C44" t="s">
        <v>16</v>
      </c>
      <c r="D44" t="s">
        <v>17</v>
      </c>
      <c r="E44" t="s">
        <v>86</v>
      </c>
      <c r="F44" t="s">
        <v>19</v>
      </c>
      <c r="G44" t="s">
        <v>57</v>
      </c>
      <c r="H44" t="s">
        <v>34</v>
      </c>
      <c r="I44">
        <v>1</v>
      </c>
      <c r="J44">
        <v>16</v>
      </c>
      <c r="K44">
        <v>7.66</v>
      </c>
      <c r="L44">
        <v>8.5399999999999991</v>
      </c>
      <c r="M44">
        <v>1931.58</v>
      </c>
      <c r="N44">
        <v>384.3</v>
      </c>
      <c r="O44">
        <f>SUM($M44:N44)</f>
        <v>2315.88</v>
      </c>
    </row>
    <row r="45" spans="1:15">
      <c r="A45" t="s">
        <v>99</v>
      </c>
      <c r="B45" s="2">
        <v>45714</v>
      </c>
      <c r="C45" t="s">
        <v>53</v>
      </c>
      <c r="D45" t="s">
        <v>17</v>
      </c>
      <c r="E45" t="s">
        <v>51</v>
      </c>
      <c r="F45" t="s">
        <v>62</v>
      </c>
      <c r="G45" t="s">
        <v>20</v>
      </c>
      <c r="H45" t="s">
        <v>25</v>
      </c>
      <c r="I45">
        <v>1</v>
      </c>
      <c r="J45">
        <v>8.4499999999999993</v>
      </c>
      <c r="K45">
        <v>7.79</v>
      </c>
      <c r="L45">
        <v>6.52</v>
      </c>
      <c r="M45">
        <v>1331.32</v>
      </c>
      <c r="N45">
        <v>326</v>
      </c>
      <c r="O45">
        <f>SUM($M45:N45)</f>
        <v>1657.32</v>
      </c>
    </row>
    <row r="46" spans="1:15">
      <c r="A46" t="s">
        <v>100</v>
      </c>
      <c r="B46" s="2">
        <v>45716</v>
      </c>
      <c r="C46" t="s">
        <v>36</v>
      </c>
      <c r="D46" t="s">
        <v>28</v>
      </c>
      <c r="E46" t="s">
        <v>33</v>
      </c>
      <c r="F46" t="s">
        <v>30</v>
      </c>
      <c r="G46" t="s">
        <v>20</v>
      </c>
      <c r="H46" t="s">
        <v>58</v>
      </c>
      <c r="I46">
        <v>0</v>
      </c>
      <c r="J46">
        <v>0.04</v>
      </c>
      <c r="K46">
        <v>0.93</v>
      </c>
      <c r="L46">
        <v>1.19</v>
      </c>
      <c r="M46">
        <v>201.27</v>
      </c>
      <c r="N46">
        <v>53.55</v>
      </c>
      <c r="O46">
        <f>SUM($M46:N46)</f>
        <v>254.82</v>
      </c>
    </row>
    <row r="47" spans="1:15">
      <c r="A47" t="s">
        <v>101</v>
      </c>
      <c r="B47" s="2">
        <v>45716</v>
      </c>
      <c r="C47" t="s">
        <v>61</v>
      </c>
      <c r="D47" t="s">
        <v>28</v>
      </c>
      <c r="E47" t="s">
        <v>42</v>
      </c>
      <c r="F47" t="s">
        <v>38</v>
      </c>
      <c r="G47" t="s">
        <v>20</v>
      </c>
      <c r="H47" t="s">
        <v>45</v>
      </c>
      <c r="I47">
        <v>0</v>
      </c>
      <c r="J47">
        <v>1.01</v>
      </c>
      <c r="K47">
        <v>1.28</v>
      </c>
      <c r="L47">
        <v>1.41</v>
      </c>
      <c r="M47">
        <v>142.22999999999999</v>
      </c>
      <c r="N47">
        <v>56.4</v>
      </c>
      <c r="O47">
        <f>SUM($M47:N47)</f>
        <v>198.63</v>
      </c>
    </row>
    <row r="48" spans="1:15">
      <c r="A48" t="s">
        <v>102</v>
      </c>
      <c r="B48" s="2">
        <v>45716</v>
      </c>
      <c r="C48" t="s">
        <v>79</v>
      </c>
      <c r="D48" t="s">
        <v>28</v>
      </c>
      <c r="E48" t="s">
        <v>42</v>
      </c>
      <c r="F48" t="s">
        <v>38</v>
      </c>
      <c r="G48" t="s">
        <v>63</v>
      </c>
      <c r="H48" t="s">
        <v>55</v>
      </c>
      <c r="I48">
        <v>0</v>
      </c>
      <c r="J48">
        <v>0.43</v>
      </c>
      <c r="K48">
        <v>0.66</v>
      </c>
      <c r="L48">
        <v>0.59</v>
      </c>
      <c r="M48">
        <v>224.06</v>
      </c>
      <c r="N48">
        <v>26.55</v>
      </c>
      <c r="O48">
        <f>SUM($M48:N48)</f>
        <v>250.61</v>
      </c>
    </row>
    <row r="49" spans="1:15">
      <c r="A49" t="s">
        <v>103</v>
      </c>
      <c r="B49" s="2">
        <v>45718</v>
      </c>
      <c r="C49" t="s">
        <v>36</v>
      </c>
      <c r="D49" t="s">
        <v>44</v>
      </c>
      <c r="E49" t="s">
        <v>86</v>
      </c>
      <c r="F49" t="s">
        <v>62</v>
      </c>
      <c r="G49" t="s">
        <v>20</v>
      </c>
      <c r="H49" t="s">
        <v>34</v>
      </c>
      <c r="I49">
        <v>2</v>
      </c>
      <c r="J49">
        <v>2.5099999999999998</v>
      </c>
      <c r="K49">
        <v>3.39</v>
      </c>
      <c r="L49">
        <v>3.53</v>
      </c>
      <c r="M49">
        <v>950.28</v>
      </c>
      <c r="N49">
        <v>123.55</v>
      </c>
      <c r="O49">
        <f>SUM($M49:N49)</f>
        <v>1073.83</v>
      </c>
    </row>
    <row r="50" spans="1:15">
      <c r="A50" t="s">
        <v>104</v>
      </c>
      <c r="B50" s="2">
        <v>45718</v>
      </c>
      <c r="C50" t="s">
        <v>53</v>
      </c>
      <c r="D50" t="s">
        <v>28</v>
      </c>
      <c r="E50" t="s">
        <v>33</v>
      </c>
      <c r="F50" t="s">
        <v>30</v>
      </c>
      <c r="G50" t="s">
        <v>20</v>
      </c>
      <c r="H50" t="s">
        <v>58</v>
      </c>
      <c r="I50">
        <v>0</v>
      </c>
      <c r="J50">
        <v>1.26</v>
      </c>
      <c r="K50">
        <v>0.93</v>
      </c>
      <c r="L50">
        <v>1.1100000000000001</v>
      </c>
      <c r="M50">
        <v>207.09</v>
      </c>
      <c r="N50">
        <v>44.4</v>
      </c>
      <c r="O50">
        <f>SUM($M50:N50)</f>
        <v>251.49</v>
      </c>
    </row>
    <row r="51" spans="1:15">
      <c r="A51" t="s">
        <v>105</v>
      </c>
      <c r="B51" s="2">
        <v>45718</v>
      </c>
      <c r="C51" t="s">
        <v>32</v>
      </c>
      <c r="D51" t="s">
        <v>44</v>
      </c>
      <c r="E51" t="s">
        <v>68</v>
      </c>
      <c r="F51" t="s">
        <v>30</v>
      </c>
      <c r="G51" t="s">
        <v>63</v>
      </c>
      <c r="H51" t="s">
        <v>58</v>
      </c>
      <c r="I51">
        <v>1</v>
      </c>
      <c r="J51">
        <v>0.79</v>
      </c>
      <c r="K51">
        <v>1.48</v>
      </c>
      <c r="L51">
        <v>1.72</v>
      </c>
      <c r="M51">
        <v>841.86</v>
      </c>
      <c r="N51">
        <v>68.8</v>
      </c>
      <c r="O51">
        <f>SUM($M51:N51)</f>
        <v>910.66</v>
      </c>
    </row>
    <row r="52" spans="1:15">
      <c r="A52" t="s">
        <v>106</v>
      </c>
      <c r="B52" s="2">
        <v>45720</v>
      </c>
      <c r="C52" t="s">
        <v>53</v>
      </c>
      <c r="D52" t="s">
        <v>44</v>
      </c>
      <c r="E52" t="s">
        <v>68</v>
      </c>
      <c r="F52" t="s">
        <v>30</v>
      </c>
      <c r="G52" t="s">
        <v>20</v>
      </c>
      <c r="H52" t="s">
        <v>69</v>
      </c>
      <c r="I52">
        <v>1</v>
      </c>
      <c r="J52">
        <v>0.81</v>
      </c>
      <c r="K52">
        <v>5.03</v>
      </c>
      <c r="L52">
        <v>4.4400000000000004</v>
      </c>
      <c r="M52">
        <v>784.48</v>
      </c>
      <c r="N52">
        <v>199.8</v>
      </c>
      <c r="O52">
        <f>SUM($M52:N52)</f>
        <v>984.28</v>
      </c>
    </row>
    <row r="53" spans="1:15">
      <c r="A53" t="s">
        <v>107</v>
      </c>
      <c r="B53" s="2">
        <v>45721</v>
      </c>
      <c r="C53" t="s">
        <v>32</v>
      </c>
      <c r="D53" t="s">
        <v>28</v>
      </c>
      <c r="E53" t="s">
        <v>29</v>
      </c>
      <c r="F53" t="s">
        <v>38</v>
      </c>
      <c r="G53" t="s">
        <v>20</v>
      </c>
      <c r="H53" t="s">
        <v>25</v>
      </c>
      <c r="I53">
        <v>0</v>
      </c>
      <c r="J53">
        <v>1.02</v>
      </c>
      <c r="K53">
        <v>2.36</v>
      </c>
      <c r="L53">
        <v>2.37</v>
      </c>
      <c r="M53">
        <v>159.02000000000001</v>
      </c>
      <c r="N53">
        <v>82.95</v>
      </c>
      <c r="O53">
        <f>SUM($M53:N53)</f>
        <v>241.97000000000003</v>
      </c>
    </row>
    <row r="54" spans="1:15">
      <c r="A54" t="s">
        <v>108</v>
      </c>
      <c r="B54" s="2">
        <v>45722</v>
      </c>
      <c r="C54" t="s">
        <v>27</v>
      </c>
      <c r="D54" t="s">
        <v>28</v>
      </c>
      <c r="E54" t="s">
        <v>29</v>
      </c>
      <c r="F54" t="s">
        <v>38</v>
      </c>
      <c r="G54" t="s">
        <v>57</v>
      </c>
      <c r="H54" t="s">
        <v>55</v>
      </c>
      <c r="I54">
        <v>0</v>
      </c>
      <c r="J54">
        <v>0</v>
      </c>
      <c r="K54">
        <v>1.38</v>
      </c>
      <c r="L54">
        <v>1.8</v>
      </c>
      <c r="M54">
        <v>207.6</v>
      </c>
      <c r="N54">
        <v>90</v>
      </c>
      <c r="O54">
        <f>SUM($M54:N54)</f>
        <v>297.60000000000002</v>
      </c>
    </row>
    <row r="55" spans="1:15">
      <c r="A55" t="s">
        <v>109</v>
      </c>
      <c r="B55" s="2">
        <v>45723</v>
      </c>
      <c r="C55" t="s">
        <v>16</v>
      </c>
      <c r="D55" t="s">
        <v>28</v>
      </c>
      <c r="E55" t="s">
        <v>37</v>
      </c>
      <c r="F55" t="s">
        <v>38</v>
      </c>
      <c r="G55" t="s">
        <v>20</v>
      </c>
      <c r="H55" t="s">
        <v>45</v>
      </c>
      <c r="I55">
        <v>0</v>
      </c>
      <c r="J55">
        <v>1.98</v>
      </c>
      <c r="K55">
        <v>2.38</v>
      </c>
      <c r="L55">
        <v>2.21</v>
      </c>
      <c r="M55">
        <v>222.35</v>
      </c>
      <c r="N55">
        <v>77.349999999999994</v>
      </c>
      <c r="O55">
        <f>SUM($M55:N55)</f>
        <v>299.7</v>
      </c>
    </row>
    <row r="56" spans="1:15">
      <c r="A56" t="s">
        <v>110</v>
      </c>
      <c r="B56" s="2">
        <v>45724</v>
      </c>
      <c r="C56" t="s">
        <v>16</v>
      </c>
      <c r="D56" t="s">
        <v>28</v>
      </c>
      <c r="E56" t="s">
        <v>29</v>
      </c>
      <c r="F56" t="s">
        <v>38</v>
      </c>
      <c r="G56" t="s">
        <v>20</v>
      </c>
      <c r="H56" t="s">
        <v>55</v>
      </c>
      <c r="I56">
        <v>0</v>
      </c>
      <c r="J56">
        <v>0.46</v>
      </c>
      <c r="K56">
        <v>1.79</v>
      </c>
      <c r="L56">
        <v>2.31</v>
      </c>
      <c r="M56">
        <v>177.67</v>
      </c>
      <c r="N56">
        <v>92.4</v>
      </c>
      <c r="O56">
        <f>SUM($M56:N56)</f>
        <v>270.07</v>
      </c>
    </row>
    <row r="57" spans="1:15">
      <c r="A57" t="s">
        <v>111</v>
      </c>
      <c r="B57" s="2">
        <v>45726</v>
      </c>
      <c r="C57" t="s">
        <v>27</v>
      </c>
      <c r="D57" t="s">
        <v>28</v>
      </c>
      <c r="E57" t="s">
        <v>37</v>
      </c>
      <c r="F57" t="s">
        <v>38</v>
      </c>
      <c r="G57" t="s">
        <v>20</v>
      </c>
      <c r="H57" t="s">
        <v>69</v>
      </c>
      <c r="I57">
        <v>0</v>
      </c>
      <c r="J57">
        <v>0.53</v>
      </c>
      <c r="K57">
        <v>1.1299999999999999</v>
      </c>
      <c r="L57">
        <v>0.99</v>
      </c>
      <c r="M57">
        <v>376.89</v>
      </c>
      <c r="N57">
        <v>39.6</v>
      </c>
      <c r="O57">
        <f>SUM($M57:N57)</f>
        <v>416.49</v>
      </c>
    </row>
    <row r="58" spans="1:15">
      <c r="A58" t="s">
        <v>112</v>
      </c>
      <c r="B58" s="2">
        <v>45727</v>
      </c>
      <c r="C58" t="s">
        <v>49</v>
      </c>
      <c r="D58" t="s">
        <v>28</v>
      </c>
      <c r="E58" t="s">
        <v>33</v>
      </c>
      <c r="F58" t="s">
        <v>38</v>
      </c>
      <c r="G58" t="s">
        <v>20</v>
      </c>
      <c r="H58" t="s">
        <v>39</v>
      </c>
      <c r="I58">
        <v>0</v>
      </c>
      <c r="J58">
        <v>0.68</v>
      </c>
      <c r="K58">
        <v>1.38</v>
      </c>
      <c r="L58">
        <v>1.63</v>
      </c>
      <c r="M58">
        <v>159.71</v>
      </c>
      <c r="N58">
        <v>65.2</v>
      </c>
      <c r="O58">
        <f>SUM($M58:N58)</f>
        <v>224.91000000000003</v>
      </c>
    </row>
    <row r="59" spans="1:15">
      <c r="A59" t="s">
        <v>113</v>
      </c>
      <c r="B59" s="2">
        <v>45729</v>
      </c>
      <c r="C59" t="s">
        <v>36</v>
      </c>
      <c r="D59" t="s">
        <v>17</v>
      </c>
      <c r="E59" t="s">
        <v>51</v>
      </c>
      <c r="F59" t="s">
        <v>62</v>
      </c>
      <c r="G59" t="s">
        <v>20</v>
      </c>
      <c r="H59" t="s">
        <v>55</v>
      </c>
      <c r="I59">
        <v>1</v>
      </c>
      <c r="J59">
        <v>11.07</v>
      </c>
      <c r="K59">
        <v>5.14</v>
      </c>
      <c r="L59">
        <v>4.92</v>
      </c>
      <c r="M59">
        <v>1766.8</v>
      </c>
      <c r="N59">
        <v>196.8</v>
      </c>
      <c r="O59">
        <f>SUM($M59:N59)</f>
        <v>1963.6</v>
      </c>
    </row>
    <row r="60" spans="1:15">
      <c r="A60" t="s">
        <v>114</v>
      </c>
      <c r="B60" s="2">
        <v>45730</v>
      </c>
      <c r="C60" t="s">
        <v>65</v>
      </c>
      <c r="D60" t="s">
        <v>28</v>
      </c>
      <c r="E60" t="s">
        <v>37</v>
      </c>
      <c r="F60" t="s">
        <v>30</v>
      </c>
      <c r="G60" t="s">
        <v>20</v>
      </c>
      <c r="H60" t="s">
        <v>45</v>
      </c>
      <c r="I60">
        <v>0</v>
      </c>
      <c r="J60">
        <v>0.47</v>
      </c>
      <c r="K60">
        <v>0.96</v>
      </c>
      <c r="L60">
        <v>1.1299999999999999</v>
      </c>
      <c r="M60">
        <v>191.15</v>
      </c>
      <c r="N60">
        <v>50.85</v>
      </c>
      <c r="O60">
        <f>SUM($M60:N60)</f>
        <v>242</v>
      </c>
    </row>
    <row r="61" spans="1:15">
      <c r="A61" t="s">
        <v>115</v>
      </c>
      <c r="B61" s="2">
        <v>45731</v>
      </c>
      <c r="C61" t="s">
        <v>16</v>
      </c>
      <c r="D61" t="s">
        <v>44</v>
      </c>
      <c r="E61" t="s">
        <v>51</v>
      </c>
      <c r="F61" t="s">
        <v>30</v>
      </c>
      <c r="G61" t="s">
        <v>20</v>
      </c>
      <c r="H61" t="s">
        <v>58</v>
      </c>
      <c r="I61">
        <v>1</v>
      </c>
      <c r="J61">
        <v>11.13</v>
      </c>
      <c r="K61">
        <v>0.78</v>
      </c>
      <c r="L61">
        <v>0.97</v>
      </c>
      <c r="M61">
        <v>1006.97</v>
      </c>
      <c r="N61">
        <v>38.799999999999997</v>
      </c>
      <c r="O61">
        <f>SUM($M61:N61)</f>
        <v>1045.77</v>
      </c>
    </row>
    <row r="62" spans="1:15">
      <c r="A62" t="s">
        <v>116</v>
      </c>
      <c r="B62" s="2">
        <v>45731</v>
      </c>
      <c r="C62" t="s">
        <v>27</v>
      </c>
      <c r="D62" t="s">
        <v>44</v>
      </c>
      <c r="E62" t="s">
        <v>51</v>
      </c>
      <c r="F62" t="s">
        <v>30</v>
      </c>
      <c r="G62" t="s">
        <v>20</v>
      </c>
      <c r="H62" t="s">
        <v>25</v>
      </c>
      <c r="I62">
        <v>1</v>
      </c>
      <c r="J62">
        <v>6.35</v>
      </c>
      <c r="K62">
        <v>6.3</v>
      </c>
      <c r="L62">
        <v>7.65</v>
      </c>
      <c r="M62">
        <v>231.98</v>
      </c>
      <c r="N62">
        <v>344.25</v>
      </c>
      <c r="O62">
        <f>SUM($M62:N62)</f>
        <v>576.23</v>
      </c>
    </row>
    <row r="63" spans="1:15">
      <c r="A63" t="s">
        <v>117</v>
      </c>
      <c r="B63" s="2">
        <v>45736</v>
      </c>
      <c r="C63" t="s">
        <v>32</v>
      </c>
      <c r="D63" t="s">
        <v>28</v>
      </c>
      <c r="E63" t="s">
        <v>42</v>
      </c>
      <c r="F63" t="s">
        <v>38</v>
      </c>
      <c r="G63" t="s">
        <v>20</v>
      </c>
      <c r="H63" t="s">
        <v>45</v>
      </c>
      <c r="I63">
        <v>0</v>
      </c>
      <c r="J63">
        <v>1.1000000000000001</v>
      </c>
      <c r="K63">
        <v>1.41</v>
      </c>
      <c r="L63">
        <v>1.32</v>
      </c>
      <c r="M63">
        <v>220.82</v>
      </c>
      <c r="N63">
        <v>52.8</v>
      </c>
      <c r="O63">
        <f>SUM($M63:N63)</f>
        <v>273.62</v>
      </c>
    </row>
    <row r="64" spans="1:15">
      <c r="A64" t="s">
        <v>118</v>
      </c>
      <c r="B64" s="2">
        <v>45740</v>
      </c>
      <c r="C64" t="s">
        <v>79</v>
      </c>
      <c r="D64" t="s">
        <v>17</v>
      </c>
      <c r="E64" t="s">
        <v>51</v>
      </c>
      <c r="F64" t="s">
        <v>62</v>
      </c>
      <c r="G64" t="s">
        <v>20</v>
      </c>
      <c r="H64" t="s">
        <v>39</v>
      </c>
      <c r="I64">
        <v>2</v>
      </c>
      <c r="J64">
        <v>6.29</v>
      </c>
      <c r="K64">
        <v>8.39</v>
      </c>
      <c r="L64">
        <v>7.03</v>
      </c>
      <c r="M64">
        <v>2049.9299999999998</v>
      </c>
      <c r="N64">
        <v>316.35000000000002</v>
      </c>
      <c r="O64">
        <f>SUM($M64:N64)</f>
        <v>2366.2799999999997</v>
      </c>
    </row>
    <row r="65" spans="1:15">
      <c r="A65" t="s">
        <v>119</v>
      </c>
      <c r="B65" s="2">
        <v>45740</v>
      </c>
      <c r="C65" t="s">
        <v>65</v>
      </c>
      <c r="D65" t="s">
        <v>28</v>
      </c>
      <c r="E65" t="s">
        <v>37</v>
      </c>
      <c r="F65" t="s">
        <v>30</v>
      </c>
      <c r="G65" t="s">
        <v>20</v>
      </c>
      <c r="H65" t="s">
        <v>25</v>
      </c>
      <c r="I65">
        <v>0</v>
      </c>
      <c r="J65">
        <v>0.59</v>
      </c>
      <c r="K65">
        <v>1.24</v>
      </c>
      <c r="L65">
        <v>1.02</v>
      </c>
      <c r="M65">
        <v>53.8</v>
      </c>
      <c r="N65">
        <v>51</v>
      </c>
      <c r="O65">
        <f>SUM($M65:N65)</f>
        <v>104.8</v>
      </c>
    </row>
    <row r="66" spans="1:15">
      <c r="A66" t="s">
        <v>120</v>
      </c>
      <c r="B66" s="2">
        <v>45743</v>
      </c>
      <c r="C66" t="s">
        <v>72</v>
      </c>
      <c r="D66" t="s">
        <v>44</v>
      </c>
      <c r="E66" t="s">
        <v>24</v>
      </c>
      <c r="F66" t="s">
        <v>30</v>
      </c>
      <c r="G66" t="s">
        <v>63</v>
      </c>
      <c r="H66" t="s">
        <v>55</v>
      </c>
      <c r="I66">
        <v>1</v>
      </c>
      <c r="J66">
        <v>0.18</v>
      </c>
      <c r="K66">
        <v>1.72</v>
      </c>
      <c r="L66">
        <v>2.2999999999999998</v>
      </c>
      <c r="M66">
        <v>1252.26</v>
      </c>
      <c r="N66">
        <v>92</v>
      </c>
      <c r="O66">
        <f>SUM($M66:N66)</f>
        <v>1344.26</v>
      </c>
    </row>
    <row r="67" spans="1:15">
      <c r="A67" t="s">
        <v>121</v>
      </c>
      <c r="B67" s="2">
        <v>45745</v>
      </c>
      <c r="C67" t="s">
        <v>23</v>
      </c>
      <c r="D67" t="s">
        <v>28</v>
      </c>
      <c r="E67" t="s">
        <v>29</v>
      </c>
      <c r="F67" t="s">
        <v>30</v>
      </c>
      <c r="G67" t="s">
        <v>20</v>
      </c>
      <c r="H67" t="s">
        <v>39</v>
      </c>
      <c r="I67">
        <v>0</v>
      </c>
      <c r="J67">
        <v>0</v>
      </c>
      <c r="K67">
        <v>0.68</v>
      </c>
      <c r="L67">
        <v>0.85</v>
      </c>
      <c r="M67">
        <v>91.48</v>
      </c>
      <c r="N67">
        <v>38.25</v>
      </c>
      <c r="O67">
        <f>SUM($M67:N67)</f>
        <v>129.73000000000002</v>
      </c>
    </row>
    <row r="68" spans="1:15">
      <c r="A68" t="s">
        <v>122</v>
      </c>
      <c r="B68" s="2">
        <v>45745</v>
      </c>
      <c r="C68" t="s">
        <v>32</v>
      </c>
      <c r="D68" t="s">
        <v>44</v>
      </c>
      <c r="E68" t="s">
        <v>86</v>
      </c>
      <c r="F68" t="s">
        <v>62</v>
      </c>
      <c r="G68" t="s">
        <v>20</v>
      </c>
      <c r="H68" t="s">
        <v>55</v>
      </c>
      <c r="I68">
        <v>2</v>
      </c>
      <c r="J68">
        <v>3.11</v>
      </c>
      <c r="K68">
        <v>8.24</v>
      </c>
      <c r="L68">
        <v>9.5</v>
      </c>
      <c r="M68">
        <v>690.13</v>
      </c>
      <c r="N68">
        <v>427.5</v>
      </c>
      <c r="O68">
        <f>SUM($M68:N68)</f>
        <v>1117.6300000000001</v>
      </c>
    </row>
    <row r="69" spans="1:15">
      <c r="A69" t="s">
        <v>123</v>
      </c>
      <c r="B69" s="2">
        <v>45747</v>
      </c>
      <c r="C69" t="s">
        <v>61</v>
      </c>
      <c r="D69" t="s">
        <v>28</v>
      </c>
      <c r="E69" t="s">
        <v>29</v>
      </c>
      <c r="F69" t="s">
        <v>38</v>
      </c>
      <c r="G69" t="s">
        <v>20</v>
      </c>
      <c r="H69" t="s">
        <v>55</v>
      </c>
      <c r="I69">
        <v>0</v>
      </c>
      <c r="J69">
        <v>1</v>
      </c>
      <c r="K69">
        <v>1.02</v>
      </c>
      <c r="L69">
        <v>0.9</v>
      </c>
      <c r="M69">
        <v>226.16</v>
      </c>
      <c r="N69">
        <v>31.5</v>
      </c>
      <c r="O69">
        <f>SUM($M69:N69)</f>
        <v>257.65999999999997</v>
      </c>
    </row>
    <row r="70" spans="1:15">
      <c r="A70" t="s">
        <v>124</v>
      </c>
      <c r="B70" s="2">
        <v>45753</v>
      </c>
      <c r="C70" t="s">
        <v>65</v>
      </c>
      <c r="D70" t="s">
        <v>28</v>
      </c>
      <c r="E70" t="s">
        <v>29</v>
      </c>
      <c r="F70" t="s">
        <v>38</v>
      </c>
      <c r="G70" t="s">
        <v>63</v>
      </c>
      <c r="H70" t="s">
        <v>55</v>
      </c>
      <c r="I70">
        <v>0</v>
      </c>
      <c r="J70">
        <v>0.28000000000000003</v>
      </c>
      <c r="K70">
        <v>0.56000000000000005</v>
      </c>
      <c r="L70">
        <v>0.56000000000000005</v>
      </c>
      <c r="M70">
        <v>178.04</v>
      </c>
      <c r="N70">
        <v>25.2</v>
      </c>
      <c r="O70">
        <f>SUM($M70:N70)</f>
        <v>203.23999999999998</v>
      </c>
    </row>
    <row r="71" spans="1:15">
      <c r="A71" t="s">
        <v>125</v>
      </c>
      <c r="B71" s="2">
        <v>45754</v>
      </c>
      <c r="C71" t="s">
        <v>49</v>
      </c>
      <c r="D71" t="s">
        <v>44</v>
      </c>
      <c r="E71" t="s">
        <v>86</v>
      </c>
      <c r="F71" t="s">
        <v>30</v>
      </c>
      <c r="G71" t="s">
        <v>20</v>
      </c>
      <c r="H71" t="s">
        <v>55</v>
      </c>
      <c r="I71">
        <v>1</v>
      </c>
      <c r="J71">
        <v>3.95</v>
      </c>
      <c r="K71">
        <v>4.4800000000000004</v>
      </c>
      <c r="L71">
        <v>5.37</v>
      </c>
      <c r="M71">
        <v>543.44000000000005</v>
      </c>
      <c r="N71">
        <v>268.5</v>
      </c>
      <c r="O71">
        <f>SUM($M71:N71)</f>
        <v>811.94</v>
      </c>
    </row>
    <row r="72" spans="1:15">
      <c r="A72" t="s">
        <v>126</v>
      </c>
      <c r="B72" s="2">
        <v>45755</v>
      </c>
      <c r="C72" t="s">
        <v>61</v>
      </c>
      <c r="D72" t="s">
        <v>28</v>
      </c>
      <c r="E72" t="s">
        <v>33</v>
      </c>
      <c r="F72" t="s">
        <v>38</v>
      </c>
      <c r="G72" t="s">
        <v>20</v>
      </c>
      <c r="H72" t="s">
        <v>34</v>
      </c>
      <c r="I72">
        <v>0</v>
      </c>
      <c r="J72">
        <v>0.88</v>
      </c>
      <c r="K72">
        <v>1.82</v>
      </c>
      <c r="L72">
        <v>2.15</v>
      </c>
      <c r="M72">
        <v>159.4</v>
      </c>
      <c r="N72">
        <v>107.5</v>
      </c>
      <c r="O72">
        <f>SUM($M72:N72)</f>
        <v>266.89999999999998</v>
      </c>
    </row>
    <row r="73" spans="1:15">
      <c r="A73" t="s">
        <v>127</v>
      </c>
      <c r="B73" s="2">
        <v>45755</v>
      </c>
      <c r="C73" t="s">
        <v>79</v>
      </c>
      <c r="D73" t="s">
        <v>28</v>
      </c>
      <c r="E73" t="s">
        <v>29</v>
      </c>
      <c r="F73" t="s">
        <v>38</v>
      </c>
      <c r="G73" t="s">
        <v>20</v>
      </c>
      <c r="H73" t="s">
        <v>45</v>
      </c>
      <c r="I73">
        <v>0</v>
      </c>
      <c r="J73">
        <v>0.44</v>
      </c>
      <c r="K73">
        <v>0.28000000000000003</v>
      </c>
      <c r="L73">
        <v>0.5</v>
      </c>
      <c r="M73">
        <v>234.08</v>
      </c>
      <c r="N73">
        <v>25</v>
      </c>
      <c r="O73">
        <f>SUM($M73:N73)</f>
        <v>259.08000000000004</v>
      </c>
    </row>
    <row r="74" spans="1:15">
      <c r="A74" t="s">
        <v>128</v>
      </c>
      <c r="B74" s="2">
        <v>45757</v>
      </c>
      <c r="C74" t="s">
        <v>41</v>
      </c>
      <c r="D74" t="s">
        <v>44</v>
      </c>
      <c r="E74" t="s">
        <v>24</v>
      </c>
      <c r="F74" t="s">
        <v>62</v>
      </c>
      <c r="G74" t="s">
        <v>20</v>
      </c>
      <c r="H74" t="s">
        <v>25</v>
      </c>
      <c r="I74">
        <v>1</v>
      </c>
      <c r="J74">
        <v>2.08</v>
      </c>
      <c r="K74">
        <v>4.08</v>
      </c>
      <c r="L74">
        <v>5.38</v>
      </c>
      <c r="M74">
        <v>1069.17</v>
      </c>
      <c r="N74">
        <v>188.3</v>
      </c>
      <c r="O74">
        <f>SUM($M74:N74)</f>
        <v>1257.47</v>
      </c>
    </row>
    <row r="75" spans="1:15">
      <c r="A75" t="s">
        <v>129</v>
      </c>
      <c r="B75" s="2">
        <v>45758</v>
      </c>
      <c r="C75" t="s">
        <v>65</v>
      </c>
      <c r="D75" t="s">
        <v>28</v>
      </c>
      <c r="E75" t="s">
        <v>42</v>
      </c>
      <c r="F75" t="s">
        <v>38</v>
      </c>
      <c r="G75" t="s">
        <v>20</v>
      </c>
      <c r="H75" t="s">
        <v>34</v>
      </c>
      <c r="I75">
        <v>0</v>
      </c>
      <c r="J75">
        <v>0.53</v>
      </c>
      <c r="K75">
        <v>1.98</v>
      </c>
      <c r="L75">
        <v>2.19</v>
      </c>
      <c r="M75">
        <v>145.5</v>
      </c>
      <c r="N75">
        <v>109.5</v>
      </c>
      <c r="O75">
        <f>SUM($M75:N75)</f>
        <v>255</v>
      </c>
    </row>
    <row r="76" spans="1:15">
      <c r="A76" t="s">
        <v>130</v>
      </c>
      <c r="B76" s="2">
        <v>45758</v>
      </c>
      <c r="C76" t="s">
        <v>65</v>
      </c>
      <c r="D76" t="s">
        <v>28</v>
      </c>
      <c r="E76" t="s">
        <v>29</v>
      </c>
      <c r="F76" t="s">
        <v>38</v>
      </c>
      <c r="G76" t="s">
        <v>20</v>
      </c>
      <c r="H76" t="s">
        <v>34</v>
      </c>
      <c r="I76">
        <v>0</v>
      </c>
      <c r="J76">
        <v>0.54</v>
      </c>
      <c r="K76">
        <v>1.48</v>
      </c>
      <c r="L76">
        <v>1.61</v>
      </c>
      <c r="M76">
        <v>192.11</v>
      </c>
      <c r="N76">
        <v>64.400000000000006</v>
      </c>
      <c r="O76">
        <f>SUM($M76:N76)</f>
        <v>256.51</v>
      </c>
    </row>
    <row r="77" spans="1:15">
      <c r="A77" t="s">
        <v>131</v>
      </c>
      <c r="B77" s="2">
        <v>45759</v>
      </c>
      <c r="C77" t="s">
        <v>61</v>
      </c>
      <c r="D77" t="s">
        <v>28</v>
      </c>
      <c r="E77" t="s">
        <v>37</v>
      </c>
      <c r="F77" t="s">
        <v>30</v>
      </c>
      <c r="G77" t="s">
        <v>20</v>
      </c>
      <c r="H77" t="s">
        <v>34</v>
      </c>
      <c r="I77">
        <v>0</v>
      </c>
      <c r="J77">
        <v>0</v>
      </c>
      <c r="K77">
        <v>0.47</v>
      </c>
      <c r="L77">
        <v>0.5</v>
      </c>
      <c r="M77">
        <v>86.66</v>
      </c>
      <c r="N77">
        <v>22.5</v>
      </c>
      <c r="O77">
        <f>SUM($M77:N77)</f>
        <v>109.16</v>
      </c>
    </row>
    <row r="78" spans="1:15">
      <c r="A78" t="s">
        <v>132</v>
      </c>
      <c r="B78" s="2">
        <v>45759</v>
      </c>
      <c r="C78" t="s">
        <v>27</v>
      </c>
      <c r="D78" t="s">
        <v>44</v>
      </c>
      <c r="E78" t="s">
        <v>86</v>
      </c>
      <c r="F78" t="s">
        <v>30</v>
      </c>
      <c r="G78" t="s">
        <v>20</v>
      </c>
      <c r="H78" t="s">
        <v>58</v>
      </c>
      <c r="I78">
        <v>2</v>
      </c>
      <c r="J78">
        <v>3.33</v>
      </c>
      <c r="K78">
        <v>1.79</v>
      </c>
      <c r="L78">
        <v>1.9</v>
      </c>
      <c r="M78">
        <v>392.61</v>
      </c>
      <c r="N78">
        <v>76</v>
      </c>
      <c r="O78">
        <f>SUM($M78:N78)</f>
        <v>468.61</v>
      </c>
    </row>
    <row r="79" spans="1:15">
      <c r="A79" t="s">
        <v>133</v>
      </c>
      <c r="B79" s="2">
        <v>45760</v>
      </c>
      <c r="C79" t="s">
        <v>61</v>
      </c>
      <c r="D79" t="s">
        <v>44</v>
      </c>
      <c r="E79" t="s">
        <v>47</v>
      </c>
      <c r="F79" t="s">
        <v>30</v>
      </c>
      <c r="G79" t="s">
        <v>20</v>
      </c>
      <c r="H79" t="s">
        <v>55</v>
      </c>
      <c r="I79">
        <v>1</v>
      </c>
      <c r="J79">
        <v>2.81</v>
      </c>
      <c r="K79">
        <v>0.9</v>
      </c>
      <c r="L79">
        <v>0.77</v>
      </c>
      <c r="M79">
        <v>721.6</v>
      </c>
      <c r="N79">
        <v>30.8</v>
      </c>
      <c r="O79">
        <f>SUM($M79:N79)</f>
        <v>752.4</v>
      </c>
    </row>
    <row r="80" spans="1:15">
      <c r="A80" t="s">
        <v>134</v>
      </c>
      <c r="B80" s="2">
        <v>45761</v>
      </c>
      <c r="C80" t="s">
        <v>32</v>
      </c>
      <c r="D80" t="s">
        <v>44</v>
      </c>
      <c r="E80" t="s">
        <v>47</v>
      </c>
      <c r="F80" t="s">
        <v>30</v>
      </c>
      <c r="G80" t="s">
        <v>20</v>
      </c>
      <c r="H80" t="s">
        <v>58</v>
      </c>
      <c r="I80">
        <v>1</v>
      </c>
      <c r="J80">
        <v>3.75</v>
      </c>
      <c r="K80">
        <v>3.22</v>
      </c>
      <c r="L80">
        <v>3.9</v>
      </c>
      <c r="M80">
        <v>1131.67</v>
      </c>
      <c r="N80">
        <v>156</v>
      </c>
      <c r="O80">
        <f>SUM($M80:N80)</f>
        <v>1287.67</v>
      </c>
    </row>
    <row r="81" spans="1:15">
      <c r="A81" t="s">
        <v>135</v>
      </c>
      <c r="B81" s="2">
        <v>45763</v>
      </c>
      <c r="C81" t="s">
        <v>65</v>
      </c>
      <c r="D81" t="s">
        <v>28</v>
      </c>
      <c r="E81" t="s">
        <v>42</v>
      </c>
      <c r="F81" t="s">
        <v>38</v>
      </c>
      <c r="G81" t="s">
        <v>63</v>
      </c>
      <c r="H81" t="s">
        <v>21</v>
      </c>
      <c r="I81">
        <v>0</v>
      </c>
      <c r="J81">
        <v>0.78</v>
      </c>
      <c r="K81">
        <v>1.31</v>
      </c>
      <c r="L81">
        <v>1.1599999999999999</v>
      </c>
      <c r="M81">
        <v>223.8</v>
      </c>
      <c r="N81">
        <v>46.4</v>
      </c>
      <c r="O81">
        <f>SUM($M81:N81)</f>
        <v>270.2</v>
      </c>
    </row>
    <row r="82" spans="1:15">
      <c r="A82" t="s">
        <v>136</v>
      </c>
      <c r="B82" s="2">
        <v>45765</v>
      </c>
      <c r="C82" t="s">
        <v>79</v>
      </c>
      <c r="D82" t="s">
        <v>44</v>
      </c>
      <c r="E82" t="s">
        <v>47</v>
      </c>
      <c r="F82" t="s">
        <v>30</v>
      </c>
      <c r="G82" t="s">
        <v>20</v>
      </c>
      <c r="H82" t="s">
        <v>39</v>
      </c>
      <c r="I82">
        <v>1</v>
      </c>
      <c r="J82">
        <v>0.96</v>
      </c>
      <c r="K82">
        <v>4.58</v>
      </c>
      <c r="L82">
        <v>4.99</v>
      </c>
      <c r="M82">
        <v>760.95</v>
      </c>
      <c r="N82">
        <v>249.5</v>
      </c>
      <c r="O82">
        <f>SUM($M82:N82)</f>
        <v>1010.45</v>
      </c>
    </row>
    <row r="83" spans="1:15">
      <c r="A83" t="s">
        <v>137</v>
      </c>
      <c r="B83" s="2">
        <v>45765</v>
      </c>
      <c r="C83" t="s">
        <v>53</v>
      </c>
      <c r="D83" t="s">
        <v>44</v>
      </c>
      <c r="E83" t="s">
        <v>51</v>
      </c>
      <c r="F83" t="s">
        <v>30</v>
      </c>
      <c r="G83" t="s">
        <v>20</v>
      </c>
      <c r="H83" t="s">
        <v>45</v>
      </c>
      <c r="I83">
        <v>1</v>
      </c>
      <c r="J83">
        <v>2.2599999999999998</v>
      </c>
      <c r="K83">
        <v>3.76</v>
      </c>
      <c r="L83">
        <v>4.99</v>
      </c>
      <c r="M83">
        <v>282.66000000000003</v>
      </c>
      <c r="N83">
        <v>224.55</v>
      </c>
      <c r="O83">
        <f>SUM($M83:N83)</f>
        <v>507.21000000000004</v>
      </c>
    </row>
    <row r="84" spans="1:15">
      <c r="A84" t="s">
        <v>138</v>
      </c>
      <c r="B84" s="2">
        <v>45767</v>
      </c>
      <c r="C84" t="s">
        <v>32</v>
      </c>
      <c r="D84" t="s">
        <v>44</v>
      </c>
      <c r="E84" t="s">
        <v>18</v>
      </c>
      <c r="F84" t="s">
        <v>30</v>
      </c>
      <c r="G84" t="s">
        <v>20</v>
      </c>
      <c r="H84" t="s">
        <v>34</v>
      </c>
      <c r="I84">
        <v>1</v>
      </c>
      <c r="J84">
        <v>2.81</v>
      </c>
      <c r="K84">
        <v>3.26</v>
      </c>
      <c r="L84">
        <v>4.25</v>
      </c>
      <c r="M84">
        <v>904.69</v>
      </c>
      <c r="N84">
        <v>170</v>
      </c>
      <c r="O84">
        <f>SUM($M84:N84)</f>
        <v>1074.69</v>
      </c>
    </row>
    <row r="85" spans="1:15">
      <c r="A85" t="s">
        <v>139</v>
      </c>
      <c r="B85" s="2">
        <v>45768</v>
      </c>
      <c r="C85" t="s">
        <v>41</v>
      </c>
      <c r="D85" t="s">
        <v>44</v>
      </c>
      <c r="E85" t="s">
        <v>47</v>
      </c>
      <c r="F85" t="s">
        <v>30</v>
      </c>
      <c r="G85" t="s">
        <v>20</v>
      </c>
      <c r="H85" t="s">
        <v>34</v>
      </c>
      <c r="I85">
        <v>1</v>
      </c>
      <c r="J85">
        <v>5.76</v>
      </c>
      <c r="K85">
        <v>4.5199999999999996</v>
      </c>
      <c r="L85">
        <v>5</v>
      </c>
      <c r="M85">
        <v>455.57</v>
      </c>
      <c r="N85">
        <v>250</v>
      </c>
      <c r="O85">
        <f>SUM($M85:N85)</f>
        <v>705.56999999999994</v>
      </c>
    </row>
    <row r="86" spans="1:15">
      <c r="A86" t="s">
        <v>140</v>
      </c>
      <c r="B86" s="2">
        <v>45768</v>
      </c>
      <c r="C86" t="s">
        <v>36</v>
      </c>
      <c r="D86" t="s">
        <v>17</v>
      </c>
      <c r="E86" t="s">
        <v>18</v>
      </c>
      <c r="F86" t="s">
        <v>62</v>
      </c>
      <c r="G86" t="s">
        <v>20</v>
      </c>
      <c r="H86" t="s">
        <v>25</v>
      </c>
      <c r="I86">
        <v>1</v>
      </c>
      <c r="J86">
        <v>10.59</v>
      </c>
      <c r="K86">
        <v>6.56</v>
      </c>
      <c r="L86">
        <v>8.1</v>
      </c>
      <c r="M86">
        <v>1924.53</v>
      </c>
      <c r="N86">
        <v>283.5</v>
      </c>
      <c r="O86">
        <f>SUM($M86:N86)</f>
        <v>2208.0299999999997</v>
      </c>
    </row>
    <row r="87" spans="1:15">
      <c r="A87" t="s">
        <v>141</v>
      </c>
      <c r="B87" s="2">
        <v>45769</v>
      </c>
      <c r="C87" t="s">
        <v>61</v>
      </c>
      <c r="D87" t="s">
        <v>28</v>
      </c>
      <c r="E87" t="s">
        <v>37</v>
      </c>
      <c r="F87" t="s">
        <v>30</v>
      </c>
      <c r="G87" t="s">
        <v>63</v>
      </c>
      <c r="H87" t="s">
        <v>69</v>
      </c>
      <c r="I87">
        <v>0</v>
      </c>
      <c r="J87">
        <v>1.05</v>
      </c>
      <c r="K87">
        <v>0.28000000000000003</v>
      </c>
      <c r="L87">
        <v>0.5</v>
      </c>
      <c r="M87">
        <v>268.14</v>
      </c>
      <c r="N87">
        <v>20</v>
      </c>
      <c r="O87">
        <f>SUM($M87:N87)</f>
        <v>288.14</v>
      </c>
    </row>
    <row r="88" spans="1:15">
      <c r="A88" t="s">
        <v>142</v>
      </c>
      <c r="B88" s="2">
        <v>45770</v>
      </c>
      <c r="C88" t="s">
        <v>61</v>
      </c>
      <c r="D88" t="s">
        <v>44</v>
      </c>
      <c r="E88" t="s">
        <v>68</v>
      </c>
      <c r="F88" t="s">
        <v>62</v>
      </c>
      <c r="G88" t="s">
        <v>63</v>
      </c>
      <c r="H88" t="s">
        <v>34</v>
      </c>
      <c r="I88">
        <v>1</v>
      </c>
      <c r="J88">
        <v>3.62</v>
      </c>
      <c r="K88">
        <v>3.05</v>
      </c>
      <c r="L88">
        <v>4.03</v>
      </c>
      <c r="M88">
        <v>532.91</v>
      </c>
      <c r="N88">
        <v>141.05000000000001</v>
      </c>
      <c r="O88">
        <f>SUM($M88:N88)</f>
        <v>673.96</v>
      </c>
    </row>
    <row r="89" spans="1:15">
      <c r="A89" t="s">
        <v>143</v>
      </c>
      <c r="B89" s="2">
        <v>45772</v>
      </c>
      <c r="C89" t="s">
        <v>27</v>
      </c>
      <c r="D89" t="s">
        <v>28</v>
      </c>
      <c r="E89" t="s">
        <v>29</v>
      </c>
      <c r="F89" t="s">
        <v>30</v>
      </c>
      <c r="G89" t="s">
        <v>20</v>
      </c>
      <c r="H89" t="s">
        <v>34</v>
      </c>
      <c r="I89">
        <v>0</v>
      </c>
      <c r="J89">
        <v>0.54</v>
      </c>
      <c r="K89">
        <v>1.05</v>
      </c>
      <c r="L89">
        <v>1.33</v>
      </c>
      <c r="M89">
        <v>133.38999999999999</v>
      </c>
      <c r="N89">
        <v>53.2</v>
      </c>
      <c r="O89">
        <f>SUM($M89:N89)</f>
        <v>186.58999999999997</v>
      </c>
    </row>
    <row r="90" spans="1:15">
      <c r="A90" t="s">
        <v>144</v>
      </c>
      <c r="B90" s="2">
        <v>45775</v>
      </c>
      <c r="C90" t="s">
        <v>41</v>
      </c>
      <c r="D90" t="s">
        <v>44</v>
      </c>
      <c r="E90" t="s">
        <v>51</v>
      </c>
      <c r="F90" t="s">
        <v>30</v>
      </c>
      <c r="G90" t="s">
        <v>20</v>
      </c>
      <c r="H90" t="s">
        <v>55</v>
      </c>
      <c r="I90">
        <v>1</v>
      </c>
      <c r="J90">
        <v>1.25</v>
      </c>
      <c r="K90">
        <v>5.01</v>
      </c>
      <c r="L90">
        <v>6.29</v>
      </c>
      <c r="M90">
        <v>884.03</v>
      </c>
      <c r="N90">
        <v>220.15</v>
      </c>
      <c r="O90">
        <f>SUM($M90:N90)</f>
        <v>1104.18</v>
      </c>
    </row>
    <row r="91" spans="1:15">
      <c r="A91" t="s">
        <v>145</v>
      </c>
      <c r="B91" s="2">
        <v>45776</v>
      </c>
      <c r="C91" t="s">
        <v>27</v>
      </c>
      <c r="D91" t="s">
        <v>28</v>
      </c>
      <c r="E91" t="s">
        <v>33</v>
      </c>
      <c r="F91" t="s">
        <v>30</v>
      </c>
      <c r="G91" t="s">
        <v>20</v>
      </c>
      <c r="H91" t="s">
        <v>25</v>
      </c>
      <c r="I91">
        <v>0</v>
      </c>
      <c r="J91">
        <v>0</v>
      </c>
      <c r="K91">
        <v>1.25</v>
      </c>
      <c r="L91">
        <v>1.34</v>
      </c>
      <c r="M91">
        <v>214.21</v>
      </c>
      <c r="N91">
        <v>53.6</v>
      </c>
      <c r="O91">
        <f>SUM($M91:N91)</f>
        <v>267.81</v>
      </c>
    </row>
    <row r="92" spans="1:15">
      <c r="A92" t="s">
        <v>146</v>
      </c>
      <c r="B92" s="2">
        <v>45778</v>
      </c>
      <c r="C92" t="s">
        <v>61</v>
      </c>
      <c r="D92" t="s">
        <v>17</v>
      </c>
      <c r="E92" t="s">
        <v>18</v>
      </c>
      <c r="F92" t="s">
        <v>62</v>
      </c>
      <c r="G92" t="s">
        <v>20</v>
      </c>
      <c r="H92" t="s">
        <v>55</v>
      </c>
      <c r="I92">
        <v>1</v>
      </c>
      <c r="J92">
        <v>2.27</v>
      </c>
      <c r="K92">
        <v>4.8499999999999996</v>
      </c>
      <c r="L92">
        <v>4.4800000000000004</v>
      </c>
      <c r="M92">
        <v>559.92999999999995</v>
      </c>
      <c r="N92">
        <v>201.6</v>
      </c>
      <c r="O92">
        <f>SUM($M92:N92)</f>
        <v>761.53</v>
      </c>
    </row>
    <row r="93" spans="1:15">
      <c r="A93" t="s">
        <v>147</v>
      </c>
      <c r="B93" s="2">
        <v>45778</v>
      </c>
      <c r="C93" t="s">
        <v>32</v>
      </c>
      <c r="D93" t="s">
        <v>17</v>
      </c>
      <c r="E93" t="s">
        <v>18</v>
      </c>
      <c r="F93" t="s">
        <v>62</v>
      </c>
      <c r="G93" t="s">
        <v>57</v>
      </c>
      <c r="H93" t="s">
        <v>58</v>
      </c>
      <c r="I93">
        <v>1</v>
      </c>
      <c r="J93">
        <v>0.92</v>
      </c>
      <c r="K93">
        <v>6.34</v>
      </c>
      <c r="L93">
        <v>5.67</v>
      </c>
      <c r="M93">
        <v>1714.9</v>
      </c>
      <c r="N93">
        <v>255.15</v>
      </c>
      <c r="O93">
        <f>SUM($M93:N93)</f>
        <v>1970.0500000000002</v>
      </c>
    </row>
    <row r="94" spans="1:15">
      <c r="A94" t="s">
        <v>148</v>
      </c>
      <c r="B94" s="2">
        <v>45779</v>
      </c>
      <c r="C94" t="s">
        <v>16</v>
      </c>
      <c r="D94" t="s">
        <v>28</v>
      </c>
      <c r="E94" t="s">
        <v>42</v>
      </c>
      <c r="F94" t="s">
        <v>30</v>
      </c>
      <c r="G94" t="s">
        <v>20</v>
      </c>
      <c r="H94" t="s">
        <v>39</v>
      </c>
      <c r="I94">
        <v>0</v>
      </c>
      <c r="J94">
        <v>0</v>
      </c>
      <c r="K94">
        <v>1.99</v>
      </c>
      <c r="L94">
        <v>1.88</v>
      </c>
      <c r="M94">
        <v>210.64</v>
      </c>
      <c r="N94">
        <v>75.2</v>
      </c>
      <c r="O94">
        <f>SUM($M94:N94)</f>
        <v>285.83999999999997</v>
      </c>
    </row>
    <row r="95" spans="1:15">
      <c r="A95" t="s">
        <v>149</v>
      </c>
      <c r="B95" s="2">
        <v>45780</v>
      </c>
      <c r="C95" t="s">
        <v>16</v>
      </c>
      <c r="D95" t="s">
        <v>28</v>
      </c>
      <c r="E95" t="s">
        <v>33</v>
      </c>
      <c r="F95" t="s">
        <v>38</v>
      </c>
      <c r="G95" t="s">
        <v>20</v>
      </c>
      <c r="H95" t="s">
        <v>25</v>
      </c>
      <c r="I95">
        <v>0</v>
      </c>
      <c r="J95">
        <v>1.94</v>
      </c>
      <c r="K95">
        <v>2.0299999999999998</v>
      </c>
      <c r="L95">
        <v>2.2799999999999998</v>
      </c>
      <c r="M95">
        <v>99.24</v>
      </c>
      <c r="N95">
        <v>102.6</v>
      </c>
      <c r="O95">
        <f>SUM($M95:N95)</f>
        <v>201.83999999999997</v>
      </c>
    </row>
    <row r="96" spans="1:15">
      <c r="A96" t="s">
        <v>150</v>
      </c>
      <c r="B96" s="2">
        <v>45781</v>
      </c>
      <c r="C96" t="s">
        <v>23</v>
      </c>
      <c r="D96" t="s">
        <v>44</v>
      </c>
      <c r="E96" t="s">
        <v>47</v>
      </c>
      <c r="F96" t="s">
        <v>62</v>
      </c>
      <c r="G96" t="s">
        <v>20</v>
      </c>
      <c r="H96" t="s">
        <v>34</v>
      </c>
      <c r="I96">
        <v>1</v>
      </c>
      <c r="J96">
        <v>4.5599999999999996</v>
      </c>
      <c r="K96">
        <v>2.6</v>
      </c>
      <c r="L96">
        <v>2.21</v>
      </c>
      <c r="M96">
        <v>1025.1500000000001</v>
      </c>
      <c r="N96">
        <v>77.349999999999994</v>
      </c>
      <c r="O96">
        <f>SUM($M96:N96)</f>
        <v>1102.5</v>
      </c>
    </row>
    <row r="97" spans="1:15">
      <c r="A97" t="s">
        <v>151</v>
      </c>
      <c r="B97" s="2">
        <v>45783</v>
      </c>
      <c r="C97" t="s">
        <v>36</v>
      </c>
      <c r="D97" t="s">
        <v>28</v>
      </c>
      <c r="E97" t="s">
        <v>29</v>
      </c>
      <c r="F97" t="s">
        <v>38</v>
      </c>
      <c r="G97" t="s">
        <v>20</v>
      </c>
      <c r="H97" t="s">
        <v>55</v>
      </c>
      <c r="I97">
        <v>0</v>
      </c>
      <c r="J97">
        <v>0.56000000000000005</v>
      </c>
      <c r="K97">
        <v>1.05</v>
      </c>
      <c r="L97">
        <v>1.34</v>
      </c>
      <c r="M97">
        <v>207.33</v>
      </c>
      <c r="N97">
        <v>60.3</v>
      </c>
      <c r="O97">
        <f>SUM($M97:N97)</f>
        <v>267.63</v>
      </c>
    </row>
    <row r="98" spans="1:15">
      <c r="A98" t="s">
        <v>152</v>
      </c>
      <c r="B98" s="2">
        <v>45784</v>
      </c>
      <c r="C98" t="s">
        <v>27</v>
      </c>
      <c r="D98" t="s">
        <v>28</v>
      </c>
      <c r="E98" t="s">
        <v>33</v>
      </c>
      <c r="F98" t="s">
        <v>38</v>
      </c>
      <c r="G98" t="s">
        <v>63</v>
      </c>
      <c r="H98" t="s">
        <v>69</v>
      </c>
      <c r="I98">
        <v>0</v>
      </c>
      <c r="J98">
        <v>0</v>
      </c>
      <c r="K98">
        <v>1.1399999999999999</v>
      </c>
      <c r="L98">
        <v>1.31</v>
      </c>
      <c r="M98">
        <v>196.41</v>
      </c>
      <c r="N98">
        <v>52.4</v>
      </c>
      <c r="O98">
        <f>SUM($M98:N98)</f>
        <v>248.81</v>
      </c>
    </row>
    <row r="99" spans="1:15">
      <c r="A99" t="s">
        <v>153</v>
      </c>
      <c r="B99" s="2">
        <v>45784</v>
      </c>
      <c r="C99" t="s">
        <v>79</v>
      </c>
      <c r="D99" t="s">
        <v>28</v>
      </c>
      <c r="E99" t="s">
        <v>29</v>
      </c>
      <c r="F99" t="s">
        <v>30</v>
      </c>
      <c r="G99" t="s">
        <v>20</v>
      </c>
      <c r="H99" t="s">
        <v>55</v>
      </c>
      <c r="I99">
        <v>0</v>
      </c>
      <c r="J99">
        <v>0.39</v>
      </c>
      <c r="K99">
        <v>1.25</v>
      </c>
      <c r="L99">
        <v>1.52</v>
      </c>
      <c r="M99">
        <v>261.13</v>
      </c>
      <c r="N99">
        <v>60.8</v>
      </c>
      <c r="O99">
        <f>SUM($M99:N99)</f>
        <v>321.93</v>
      </c>
    </row>
    <row r="100" spans="1:15">
      <c r="A100" t="s">
        <v>154</v>
      </c>
      <c r="B100" s="2">
        <v>45787</v>
      </c>
      <c r="C100" t="s">
        <v>72</v>
      </c>
      <c r="D100" t="s">
        <v>28</v>
      </c>
      <c r="E100" t="s">
        <v>33</v>
      </c>
      <c r="F100" t="s">
        <v>38</v>
      </c>
      <c r="G100" t="s">
        <v>20</v>
      </c>
      <c r="H100" t="s">
        <v>34</v>
      </c>
      <c r="I100">
        <v>0</v>
      </c>
      <c r="J100">
        <v>0.37</v>
      </c>
      <c r="K100">
        <v>1.1000000000000001</v>
      </c>
      <c r="L100">
        <v>1.1399999999999999</v>
      </c>
      <c r="M100">
        <v>95.81</v>
      </c>
      <c r="N100">
        <v>45.6</v>
      </c>
      <c r="O100">
        <f>SUM($M100:N100)</f>
        <v>141.41</v>
      </c>
    </row>
    <row r="101" spans="1:15">
      <c r="A101" t="s">
        <v>155</v>
      </c>
      <c r="B101" s="2">
        <v>45790</v>
      </c>
      <c r="C101" t="s">
        <v>79</v>
      </c>
      <c r="D101" t="s">
        <v>17</v>
      </c>
      <c r="E101" t="s">
        <v>18</v>
      </c>
      <c r="F101" t="s">
        <v>62</v>
      </c>
      <c r="G101" t="s">
        <v>20</v>
      </c>
      <c r="H101" t="s">
        <v>55</v>
      </c>
      <c r="I101">
        <v>1</v>
      </c>
      <c r="J101">
        <v>6.32</v>
      </c>
      <c r="K101">
        <v>6.94</v>
      </c>
      <c r="L101">
        <v>6.22</v>
      </c>
      <c r="M101">
        <v>1631.11</v>
      </c>
      <c r="N101">
        <v>217.7</v>
      </c>
      <c r="O101">
        <f>SUM($M101:N101)</f>
        <v>1848.81</v>
      </c>
    </row>
    <row r="102" spans="1:15">
      <c r="A102" t="s">
        <v>156</v>
      </c>
      <c r="B102" s="2">
        <v>45790</v>
      </c>
      <c r="C102" t="s">
        <v>23</v>
      </c>
      <c r="D102" t="s">
        <v>28</v>
      </c>
      <c r="E102" t="s">
        <v>37</v>
      </c>
      <c r="F102" t="s">
        <v>38</v>
      </c>
      <c r="G102" t="s">
        <v>20</v>
      </c>
      <c r="H102" t="s">
        <v>34</v>
      </c>
      <c r="I102">
        <v>0</v>
      </c>
      <c r="J102">
        <v>0.63</v>
      </c>
      <c r="K102">
        <v>0.53</v>
      </c>
      <c r="L102">
        <v>0.5</v>
      </c>
      <c r="M102">
        <v>106.69</v>
      </c>
      <c r="N102">
        <v>22.5</v>
      </c>
      <c r="O102">
        <f>SUM($M102:N102)</f>
        <v>129.19</v>
      </c>
    </row>
    <row r="103" spans="1:15">
      <c r="A103" t="s">
        <v>157</v>
      </c>
      <c r="B103" s="2">
        <v>45791</v>
      </c>
      <c r="C103" t="s">
        <v>16</v>
      </c>
      <c r="D103" t="s">
        <v>28</v>
      </c>
      <c r="E103" t="s">
        <v>29</v>
      </c>
      <c r="F103" t="s">
        <v>38</v>
      </c>
      <c r="G103" t="s">
        <v>20</v>
      </c>
      <c r="H103" t="s">
        <v>58</v>
      </c>
      <c r="I103">
        <v>0</v>
      </c>
      <c r="J103">
        <v>0.75</v>
      </c>
      <c r="K103">
        <v>1.77</v>
      </c>
      <c r="L103">
        <v>1.62</v>
      </c>
      <c r="M103">
        <v>47.48</v>
      </c>
      <c r="N103">
        <v>72.900000000000006</v>
      </c>
      <c r="O103">
        <f>SUM($M103:N103)</f>
        <v>120.38</v>
      </c>
    </row>
    <row r="104" spans="1:15">
      <c r="A104" t="s">
        <v>158</v>
      </c>
      <c r="B104" s="2">
        <v>45791</v>
      </c>
      <c r="C104" t="s">
        <v>23</v>
      </c>
      <c r="D104" t="s">
        <v>28</v>
      </c>
      <c r="E104" t="s">
        <v>29</v>
      </c>
      <c r="F104" t="s">
        <v>30</v>
      </c>
      <c r="G104" t="s">
        <v>20</v>
      </c>
      <c r="H104" t="s">
        <v>58</v>
      </c>
      <c r="I104">
        <v>0</v>
      </c>
      <c r="J104">
        <v>0.92</v>
      </c>
      <c r="K104">
        <v>1.53</v>
      </c>
      <c r="L104">
        <v>1.41</v>
      </c>
      <c r="M104">
        <v>214.26</v>
      </c>
      <c r="N104">
        <v>49.35</v>
      </c>
      <c r="O104">
        <f>SUM($M104:N104)</f>
        <v>263.61</v>
      </c>
    </row>
    <row r="105" spans="1:15">
      <c r="A105" t="s">
        <v>159</v>
      </c>
      <c r="B105" s="2">
        <v>45793</v>
      </c>
      <c r="C105" t="s">
        <v>61</v>
      </c>
      <c r="D105" t="s">
        <v>44</v>
      </c>
      <c r="E105" t="s">
        <v>68</v>
      </c>
      <c r="F105" t="s">
        <v>62</v>
      </c>
      <c r="G105" t="s">
        <v>20</v>
      </c>
      <c r="H105" t="s">
        <v>34</v>
      </c>
      <c r="I105">
        <v>1</v>
      </c>
      <c r="J105">
        <v>2.33</v>
      </c>
      <c r="K105">
        <v>2.64</v>
      </c>
      <c r="L105">
        <v>2.66</v>
      </c>
      <c r="M105">
        <v>613.07000000000005</v>
      </c>
      <c r="N105">
        <v>106.4</v>
      </c>
      <c r="O105">
        <f>SUM($M105:N105)</f>
        <v>719.47</v>
      </c>
    </row>
    <row r="106" spans="1:15">
      <c r="A106" t="s">
        <v>160</v>
      </c>
      <c r="B106" s="2">
        <v>45793</v>
      </c>
      <c r="C106" t="s">
        <v>79</v>
      </c>
      <c r="D106" t="s">
        <v>28</v>
      </c>
      <c r="E106" t="s">
        <v>33</v>
      </c>
      <c r="F106" t="s">
        <v>30</v>
      </c>
      <c r="G106" t="s">
        <v>20</v>
      </c>
      <c r="H106" t="s">
        <v>21</v>
      </c>
      <c r="I106">
        <v>0</v>
      </c>
      <c r="J106">
        <v>0.04</v>
      </c>
      <c r="K106">
        <v>0.94</v>
      </c>
      <c r="L106">
        <v>0.8</v>
      </c>
      <c r="M106">
        <v>292.3</v>
      </c>
      <c r="N106">
        <v>32</v>
      </c>
      <c r="O106">
        <f>SUM($M106:N106)</f>
        <v>324.3</v>
      </c>
    </row>
    <row r="107" spans="1:15">
      <c r="A107" t="s">
        <v>161</v>
      </c>
      <c r="B107" s="2">
        <v>45797</v>
      </c>
      <c r="C107" t="s">
        <v>27</v>
      </c>
      <c r="D107" t="s">
        <v>44</v>
      </c>
      <c r="E107" t="s">
        <v>18</v>
      </c>
      <c r="F107" t="s">
        <v>30</v>
      </c>
      <c r="G107" t="s">
        <v>20</v>
      </c>
      <c r="H107" t="s">
        <v>55</v>
      </c>
      <c r="I107">
        <v>1</v>
      </c>
      <c r="J107">
        <v>3.04</v>
      </c>
      <c r="K107">
        <v>5.24</v>
      </c>
      <c r="L107">
        <v>6.27</v>
      </c>
      <c r="M107">
        <v>289.94</v>
      </c>
      <c r="N107">
        <v>282.14999999999998</v>
      </c>
      <c r="O107">
        <f>SUM($M107:N107)</f>
        <v>572.08999999999992</v>
      </c>
    </row>
    <row r="108" spans="1:15">
      <c r="A108" t="s">
        <v>162</v>
      </c>
      <c r="B108" s="2">
        <v>45799</v>
      </c>
      <c r="C108" t="s">
        <v>79</v>
      </c>
      <c r="D108" t="s">
        <v>17</v>
      </c>
      <c r="E108" t="s">
        <v>51</v>
      </c>
      <c r="F108" t="s">
        <v>19</v>
      </c>
      <c r="G108" t="s">
        <v>20</v>
      </c>
      <c r="H108" t="s">
        <v>55</v>
      </c>
      <c r="I108">
        <v>1</v>
      </c>
      <c r="J108">
        <v>4.41</v>
      </c>
      <c r="K108">
        <v>8.83</v>
      </c>
      <c r="L108">
        <v>9.5</v>
      </c>
      <c r="M108">
        <v>888.99</v>
      </c>
      <c r="N108">
        <v>427.5</v>
      </c>
      <c r="O108">
        <f>SUM($M108:N108)</f>
        <v>1316.49</v>
      </c>
    </row>
    <row r="109" spans="1:15">
      <c r="A109" t="s">
        <v>163</v>
      </c>
      <c r="B109" s="2">
        <v>45804</v>
      </c>
      <c r="C109" t="s">
        <v>49</v>
      </c>
      <c r="D109" t="s">
        <v>28</v>
      </c>
      <c r="E109" t="s">
        <v>33</v>
      </c>
      <c r="F109" t="s">
        <v>30</v>
      </c>
      <c r="G109" t="s">
        <v>20</v>
      </c>
      <c r="H109" t="s">
        <v>21</v>
      </c>
      <c r="I109">
        <v>0</v>
      </c>
      <c r="J109">
        <v>0.55000000000000004</v>
      </c>
      <c r="K109">
        <v>1.0900000000000001</v>
      </c>
      <c r="L109">
        <v>1.45</v>
      </c>
      <c r="M109">
        <v>90.78</v>
      </c>
      <c r="N109">
        <v>65.25</v>
      </c>
      <c r="O109">
        <f>SUM($M109:N109)</f>
        <v>156.03</v>
      </c>
    </row>
    <row r="110" spans="1:15">
      <c r="A110" t="s">
        <v>164</v>
      </c>
      <c r="B110" s="2">
        <v>45806</v>
      </c>
      <c r="C110" t="s">
        <v>41</v>
      </c>
      <c r="D110" t="s">
        <v>17</v>
      </c>
      <c r="E110" t="s">
        <v>24</v>
      </c>
      <c r="F110" t="s">
        <v>19</v>
      </c>
      <c r="G110" t="s">
        <v>63</v>
      </c>
      <c r="H110" t="s">
        <v>25</v>
      </c>
      <c r="I110">
        <v>1</v>
      </c>
      <c r="J110">
        <v>8.31</v>
      </c>
      <c r="K110">
        <v>8.98</v>
      </c>
      <c r="L110">
        <v>10.6</v>
      </c>
      <c r="M110">
        <v>1529.56</v>
      </c>
      <c r="N110">
        <v>371</v>
      </c>
      <c r="O110">
        <f>SUM($M110:N110)</f>
        <v>1900.56</v>
      </c>
    </row>
    <row r="111" spans="1:15">
      <c r="A111" t="s">
        <v>165</v>
      </c>
      <c r="B111" s="2">
        <v>45807</v>
      </c>
      <c r="C111" t="s">
        <v>53</v>
      </c>
      <c r="D111" t="s">
        <v>28</v>
      </c>
      <c r="E111" t="s">
        <v>42</v>
      </c>
      <c r="F111" t="s">
        <v>38</v>
      </c>
      <c r="G111" t="s">
        <v>20</v>
      </c>
      <c r="H111" t="s">
        <v>55</v>
      </c>
      <c r="I111">
        <v>0</v>
      </c>
      <c r="J111">
        <v>0</v>
      </c>
      <c r="K111">
        <v>1.42</v>
      </c>
      <c r="L111">
        <v>1.58</v>
      </c>
      <c r="M111">
        <v>290.26</v>
      </c>
      <c r="N111">
        <v>63.2</v>
      </c>
      <c r="O111">
        <f>SUM($M111:N111)</f>
        <v>353.46</v>
      </c>
    </row>
    <row r="112" spans="1:15">
      <c r="A112" t="s">
        <v>166</v>
      </c>
      <c r="B112" s="2">
        <v>45807</v>
      </c>
      <c r="C112" t="s">
        <v>32</v>
      </c>
      <c r="D112" t="s">
        <v>44</v>
      </c>
      <c r="E112" t="s">
        <v>18</v>
      </c>
      <c r="F112" t="s">
        <v>30</v>
      </c>
      <c r="G112" t="s">
        <v>20</v>
      </c>
      <c r="H112" t="s">
        <v>45</v>
      </c>
      <c r="I112">
        <v>1</v>
      </c>
      <c r="J112">
        <v>3.8</v>
      </c>
      <c r="K112">
        <v>3.28</v>
      </c>
      <c r="L112">
        <v>3.16</v>
      </c>
      <c r="M112">
        <v>263.14</v>
      </c>
      <c r="N112">
        <v>126.4</v>
      </c>
      <c r="O112">
        <f>SUM($M112:N112)</f>
        <v>389.53999999999996</v>
      </c>
    </row>
    <row r="113" spans="1:15">
      <c r="A113" t="s">
        <v>167</v>
      </c>
      <c r="B113" s="2">
        <v>45807</v>
      </c>
      <c r="C113" t="s">
        <v>16</v>
      </c>
      <c r="D113" t="s">
        <v>17</v>
      </c>
      <c r="E113" t="s">
        <v>68</v>
      </c>
      <c r="F113" t="s">
        <v>19</v>
      </c>
      <c r="G113" t="s">
        <v>20</v>
      </c>
      <c r="H113" t="s">
        <v>39</v>
      </c>
      <c r="I113">
        <v>1</v>
      </c>
      <c r="J113">
        <v>2.91</v>
      </c>
      <c r="K113">
        <v>11.8</v>
      </c>
      <c r="L113">
        <v>9.89</v>
      </c>
      <c r="M113">
        <v>1481.04</v>
      </c>
      <c r="N113">
        <v>445.05</v>
      </c>
      <c r="O113">
        <f>SUM($M113:N113)</f>
        <v>1926.09</v>
      </c>
    </row>
    <row r="114" spans="1:15">
      <c r="A114" t="s">
        <v>168</v>
      </c>
      <c r="B114" s="2">
        <v>45809</v>
      </c>
      <c r="C114" t="s">
        <v>16</v>
      </c>
      <c r="D114" t="s">
        <v>44</v>
      </c>
      <c r="E114" t="s">
        <v>47</v>
      </c>
      <c r="F114" t="s">
        <v>62</v>
      </c>
      <c r="G114" t="s">
        <v>20</v>
      </c>
      <c r="H114" t="s">
        <v>69</v>
      </c>
      <c r="I114">
        <v>1</v>
      </c>
      <c r="J114">
        <v>2.64</v>
      </c>
      <c r="K114">
        <v>0.68</v>
      </c>
      <c r="L114">
        <v>0.7</v>
      </c>
      <c r="M114">
        <v>505.69</v>
      </c>
      <c r="N114">
        <v>35</v>
      </c>
      <c r="O114">
        <f>SUM($M114:N114)</f>
        <v>540.69000000000005</v>
      </c>
    </row>
    <row r="115" spans="1:15">
      <c r="A115" t="s">
        <v>169</v>
      </c>
      <c r="B115" s="2">
        <v>45810</v>
      </c>
      <c r="C115" t="s">
        <v>41</v>
      </c>
      <c r="D115" t="s">
        <v>28</v>
      </c>
      <c r="E115" t="s">
        <v>33</v>
      </c>
      <c r="F115" t="s">
        <v>30</v>
      </c>
      <c r="G115" t="s">
        <v>20</v>
      </c>
      <c r="H115" t="s">
        <v>55</v>
      </c>
      <c r="I115">
        <v>0</v>
      </c>
      <c r="J115">
        <v>1.52</v>
      </c>
      <c r="K115">
        <v>2.1800000000000002</v>
      </c>
      <c r="L115">
        <v>2.5</v>
      </c>
      <c r="M115">
        <v>29.08</v>
      </c>
      <c r="N115">
        <v>100</v>
      </c>
      <c r="O115">
        <f>SUM($M115:N115)</f>
        <v>129.07999999999998</v>
      </c>
    </row>
    <row r="116" spans="1:15">
      <c r="A116" t="s">
        <v>170</v>
      </c>
      <c r="B116" s="2">
        <v>45810</v>
      </c>
      <c r="C116" t="s">
        <v>23</v>
      </c>
      <c r="D116" t="s">
        <v>28</v>
      </c>
      <c r="E116" t="s">
        <v>37</v>
      </c>
      <c r="F116" t="s">
        <v>38</v>
      </c>
      <c r="G116" t="s">
        <v>20</v>
      </c>
      <c r="H116" t="s">
        <v>69</v>
      </c>
      <c r="I116">
        <v>0</v>
      </c>
      <c r="J116">
        <v>0.41</v>
      </c>
      <c r="K116">
        <v>0.26</v>
      </c>
      <c r="L116">
        <v>0.5</v>
      </c>
      <c r="M116">
        <v>320.76</v>
      </c>
      <c r="N116">
        <v>20</v>
      </c>
      <c r="O116">
        <f>SUM($M116:N116)</f>
        <v>340.76</v>
      </c>
    </row>
    <row r="117" spans="1:15">
      <c r="A117" t="s">
        <v>171</v>
      </c>
      <c r="B117" s="2">
        <v>45815</v>
      </c>
      <c r="C117" t="s">
        <v>36</v>
      </c>
      <c r="D117" t="s">
        <v>17</v>
      </c>
      <c r="E117" t="s">
        <v>47</v>
      </c>
      <c r="F117" t="s">
        <v>19</v>
      </c>
      <c r="G117" t="s">
        <v>20</v>
      </c>
      <c r="H117" t="s">
        <v>55</v>
      </c>
      <c r="I117">
        <v>1</v>
      </c>
      <c r="J117">
        <v>6.72</v>
      </c>
      <c r="K117">
        <v>3.92</v>
      </c>
      <c r="L117">
        <v>4.6100000000000003</v>
      </c>
      <c r="M117">
        <v>1902.32</v>
      </c>
      <c r="N117">
        <v>184.4</v>
      </c>
      <c r="O117">
        <f>SUM($M117:N117)</f>
        <v>2086.7199999999998</v>
      </c>
    </row>
    <row r="118" spans="1:15">
      <c r="A118" t="s">
        <v>172</v>
      </c>
      <c r="B118" s="2">
        <v>45816</v>
      </c>
      <c r="C118" t="s">
        <v>72</v>
      </c>
      <c r="D118" t="s">
        <v>17</v>
      </c>
      <c r="E118" t="s">
        <v>51</v>
      </c>
      <c r="F118" t="s">
        <v>19</v>
      </c>
      <c r="G118" t="s">
        <v>20</v>
      </c>
      <c r="H118" t="s">
        <v>39</v>
      </c>
      <c r="I118">
        <v>1</v>
      </c>
      <c r="J118">
        <v>7.65</v>
      </c>
      <c r="K118">
        <v>7.45</v>
      </c>
      <c r="L118">
        <v>6.24</v>
      </c>
      <c r="M118">
        <v>1791.88</v>
      </c>
      <c r="N118">
        <v>218.4</v>
      </c>
      <c r="O118">
        <f>SUM($M118:N118)</f>
        <v>2010.2800000000002</v>
      </c>
    </row>
    <row r="119" spans="1:15">
      <c r="A119" t="s">
        <v>173</v>
      </c>
      <c r="B119" s="2">
        <v>45816</v>
      </c>
      <c r="C119" t="s">
        <v>61</v>
      </c>
      <c r="D119" t="s">
        <v>28</v>
      </c>
      <c r="E119" t="s">
        <v>29</v>
      </c>
      <c r="F119" t="s">
        <v>38</v>
      </c>
      <c r="G119" t="s">
        <v>63</v>
      </c>
      <c r="H119" t="s">
        <v>45</v>
      </c>
      <c r="I119">
        <v>0</v>
      </c>
      <c r="J119">
        <v>0</v>
      </c>
      <c r="K119">
        <v>0.28000000000000003</v>
      </c>
      <c r="L119">
        <v>0.5</v>
      </c>
      <c r="M119">
        <v>157.79</v>
      </c>
      <c r="N119">
        <v>22.5</v>
      </c>
      <c r="O119">
        <f>SUM($M119:N119)</f>
        <v>180.29</v>
      </c>
    </row>
    <row r="120" spans="1:15">
      <c r="A120" t="s">
        <v>174</v>
      </c>
      <c r="B120" s="2">
        <v>45816</v>
      </c>
      <c r="C120" t="s">
        <v>72</v>
      </c>
      <c r="D120" t="s">
        <v>17</v>
      </c>
      <c r="E120" t="s">
        <v>54</v>
      </c>
      <c r="F120" t="s">
        <v>62</v>
      </c>
      <c r="G120" t="s">
        <v>20</v>
      </c>
      <c r="H120" t="s">
        <v>39</v>
      </c>
      <c r="I120">
        <v>1</v>
      </c>
      <c r="J120">
        <v>5.86</v>
      </c>
      <c r="K120">
        <v>6.9</v>
      </c>
      <c r="L120">
        <v>7.14</v>
      </c>
      <c r="M120">
        <v>727.36</v>
      </c>
      <c r="N120">
        <v>285.60000000000002</v>
      </c>
      <c r="O120">
        <f>SUM($M120:N120)</f>
        <v>1012.96</v>
      </c>
    </row>
    <row r="121" spans="1:15">
      <c r="A121" t="s">
        <v>175</v>
      </c>
      <c r="B121" s="2">
        <v>45817</v>
      </c>
      <c r="C121" t="s">
        <v>32</v>
      </c>
      <c r="D121" t="s">
        <v>28</v>
      </c>
      <c r="E121" t="s">
        <v>37</v>
      </c>
      <c r="F121" t="s">
        <v>38</v>
      </c>
      <c r="G121" t="s">
        <v>20</v>
      </c>
      <c r="H121" t="s">
        <v>34</v>
      </c>
      <c r="I121">
        <v>0</v>
      </c>
      <c r="J121">
        <v>0.7</v>
      </c>
      <c r="K121">
        <v>1.04</v>
      </c>
      <c r="L121">
        <v>1.34</v>
      </c>
      <c r="M121">
        <v>380.02</v>
      </c>
      <c r="N121">
        <v>60.3</v>
      </c>
      <c r="O121">
        <f>SUM($M121:N121)</f>
        <v>440.32</v>
      </c>
    </row>
    <row r="122" spans="1:15">
      <c r="A122" t="s">
        <v>176</v>
      </c>
      <c r="B122" s="2">
        <v>45817</v>
      </c>
      <c r="C122" t="s">
        <v>41</v>
      </c>
      <c r="D122" t="s">
        <v>44</v>
      </c>
      <c r="E122" t="s">
        <v>18</v>
      </c>
      <c r="F122" t="s">
        <v>30</v>
      </c>
      <c r="G122" t="s">
        <v>20</v>
      </c>
      <c r="H122" t="s">
        <v>39</v>
      </c>
      <c r="I122">
        <v>1</v>
      </c>
      <c r="J122">
        <v>1.74</v>
      </c>
      <c r="K122">
        <v>3.22</v>
      </c>
      <c r="L122">
        <v>2.69</v>
      </c>
      <c r="M122">
        <v>879.76</v>
      </c>
      <c r="N122">
        <v>134.5</v>
      </c>
      <c r="O122">
        <f>SUM($M122:N122)</f>
        <v>1014.26</v>
      </c>
    </row>
    <row r="123" spans="1:15">
      <c r="A123" t="s">
        <v>177</v>
      </c>
      <c r="B123" s="2">
        <v>45818</v>
      </c>
      <c r="C123" t="s">
        <v>32</v>
      </c>
      <c r="D123" t="s">
        <v>28</v>
      </c>
      <c r="E123" t="s">
        <v>33</v>
      </c>
      <c r="F123" t="s">
        <v>38</v>
      </c>
      <c r="G123" t="s">
        <v>20</v>
      </c>
      <c r="H123" t="s">
        <v>45</v>
      </c>
      <c r="I123">
        <v>0</v>
      </c>
      <c r="J123">
        <v>0.14000000000000001</v>
      </c>
      <c r="K123">
        <v>0.62</v>
      </c>
      <c r="L123">
        <v>0.51</v>
      </c>
      <c r="M123">
        <v>187.96</v>
      </c>
      <c r="N123">
        <v>20.399999999999999</v>
      </c>
      <c r="O123">
        <f>SUM($M123:N123)</f>
        <v>208.36</v>
      </c>
    </row>
    <row r="124" spans="1:15">
      <c r="A124" t="s">
        <v>178</v>
      </c>
      <c r="B124" s="2">
        <v>45818</v>
      </c>
      <c r="C124" t="s">
        <v>23</v>
      </c>
      <c r="D124" t="s">
        <v>28</v>
      </c>
      <c r="E124" t="s">
        <v>37</v>
      </c>
      <c r="F124" t="s">
        <v>30</v>
      </c>
      <c r="G124" t="s">
        <v>57</v>
      </c>
      <c r="H124" t="s">
        <v>25</v>
      </c>
      <c r="I124">
        <v>0</v>
      </c>
      <c r="J124">
        <v>0.46</v>
      </c>
      <c r="K124">
        <v>1.28</v>
      </c>
      <c r="L124">
        <v>1.5</v>
      </c>
      <c r="M124">
        <v>248.57</v>
      </c>
      <c r="N124">
        <v>60</v>
      </c>
      <c r="O124">
        <f>SUM($M124:N124)</f>
        <v>308.57</v>
      </c>
    </row>
    <row r="125" spans="1:15">
      <c r="A125" t="s">
        <v>179</v>
      </c>
      <c r="B125" s="2">
        <v>45818</v>
      </c>
      <c r="C125" t="s">
        <v>79</v>
      </c>
      <c r="D125" t="s">
        <v>28</v>
      </c>
      <c r="E125" t="s">
        <v>37</v>
      </c>
      <c r="F125" t="s">
        <v>38</v>
      </c>
      <c r="G125" t="s">
        <v>20</v>
      </c>
      <c r="H125" t="s">
        <v>21</v>
      </c>
      <c r="I125">
        <v>0</v>
      </c>
      <c r="J125">
        <v>0.65</v>
      </c>
      <c r="K125">
        <v>1.1499999999999999</v>
      </c>
      <c r="L125">
        <v>1.24</v>
      </c>
      <c r="M125">
        <v>251.77</v>
      </c>
      <c r="N125">
        <v>43.4</v>
      </c>
      <c r="O125">
        <f>SUM($M125:N125)</f>
        <v>295.17</v>
      </c>
    </row>
    <row r="126" spans="1:15">
      <c r="A126" t="s">
        <v>180</v>
      </c>
      <c r="B126" s="2">
        <v>45819</v>
      </c>
      <c r="C126" t="s">
        <v>32</v>
      </c>
      <c r="D126" t="s">
        <v>28</v>
      </c>
      <c r="E126" t="s">
        <v>42</v>
      </c>
      <c r="F126" t="s">
        <v>38</v>
      </c>
      <c r="G126" t="s">
        <v>63</v>
      </c>
      <c r="H126" t="s">
        <v>39</v>
      </c>
      <c r="I126">
        <v>0</v>
      </c>
      <c r="J126">
        <v>0.33</v>
      </c>
      <c r="K126">
        <v>1.28</v>
      </c>
      <c r="L126">
        <v>1.25</v>
      </c>
      <c r="M126">
        <v>164.94</v>
      </c>
      <c r="N126">
        <v>56.25</v>
      </c>
      <c r="O126">
        <f>SUM($M126:N126)</f>
        <v>221.19</v>
      </c>
    </row>
    <row r="127" spans="1:15">
      <c r="A127" t="s">
        <v>181</v>
      </c>
      <c r="B127" s="2">
        <v>45819</v>
      </c>
      <c r="C127" t="s">
        <v>27</v>
      </c>
      <c r="D127" t="s">
        <v>28</v>
      </c>
      <c r="E127" t="s">
        <v>42</v>
      </c>
      <c r="F127" t="s">
        <v>38</v>
      </c>
      <c r="G127" t="s">
        <v>20</v>
      </c>
      <c r="H127" t="s">
        <v>34</v>
      </c>
      <c r="I127">
        <v>0</v>
      </c>
      <c r="J127">
        <v>1.18</v>
      </c>
      <c r="K127">
        <v>2.0099999999999998</v>
      </c>
      <c r="L127">
        <v>1.95</v>
      </c>
      <c r="M127">
        <v>27.37</v>
      </c>
      <c r="N127">
        <v>68.25</v>
      </c>
      <c r="O127">
        <f>SUM($M127:N127)</f>
        <v>95.62</v>
      </c>
    </row>
    <row r="128" spans="1:15">
      <c r="A128" t="s">
        <v>182</v>
      </c>
      <c r="B128" s="2">
        <v>45820</v>
      </c>
      <c r="C128" t="s">
        <v>23</v>
      </c>
      <c r="D128" t="s">
        <v>28</v>
      </c>
      <c r="E128" t="s">
        <v>42</v>
      </c>
      <c r="F128" t="s">
        <v>30</v>
      </c>
      <c r="G128" t="s">
        <v>20</v>
      </c>
      <c r="H128" t="s">
        <v>34</v>
      </c>
      <c r="I128">
        <v>0</v>
      </c>
      <c r="J128">
        <v>0.18</v>
      </c>
      <c r="K128">
        <v>1.22</v>
      </c>
      <c r="L128">
        <v>1.37</v>
      </c>
      <c r="M128">
        <v>288.04000000000002</v>
      </c>
      <c r="N128">
        <v>47.95</v>
      </c>
      <c r="O128">
        <f>SUM($M128:N128)</f>
        <v>335.99</v>
      </c>
    </row>
    <row r="129" spans="1:15">
      <c r="A129" t="s">
        <v>183</v>
      </c>
      <c r="B129" s="2">
        <v>45820</v>
      </c>
      <c r="C129" t="s">
        <v>23</v>
      </c>
      <c r="D129" t="s">
        <v>28</v>
      </c>
      <c r="E129" t="s">
        <v>37</v>
      </c>
      <c r="F129" t="s">
        <v>30</v>
      </c>
      <c r="G129" t="s">
        <v>20</v>
      </c>
      <c r="H129" t="s">
        <v>45</v>
      </c>
      <c r="I129">
        <v>0</v>
      </c>
      <c r="J129">
        <v>1.3</v>
      </c>
      <c r="K129">
        <v>0.92</v>
      </c>
      <c r="L129">
        <v>1.24</v>
      </c>
      <c r="M129">
        <v>191.5</v>
      </c>
      <c r="N129">
        <v>62</v>
      </c>
      <c r="O129">
        <f>SUM($M129:N129)</f>
        <v>253.5</v>
      </c>
    </row>
    <row r="130" spans="1:15">
      <c r="A130" t="s">
        <v>184</v>
      </c>
      <c r="B130" s="2">
        <v>45821</v>
      </c>
      <c r="C130" t="s">
        <v>61</v>
      </c>
      <c r="D130" t="s">
        <v>44</v>
      </c>
      <c r="E130" t="s">
        <v>54</v>
      </c>
      <c r="F130" t="s">
        <v>30</v>
      </c>
      <c r="G130" t="s">
        <v>20</v>
      </c>
      <c r="H130" t="s">
        <v>39</v>
      </c>
      <c r="I130">
        <v>1</v>
      </c>
      <c r="J130">
        <v>4.75</v>
      </c>
      <c r="K130">
        <v>0.85</v>
      </c>
      <c r="L130">
        <v>0.97</v>
      </c>
      <c r="M130">
        <v>1363.92</v>
      </c>
      <c r="N130">
        <v>38.799999999999997</v>
      </c>
      <c r="O130">
        <f>SUM($M130:N130)</f>
        <v>1402.72</v>
      </c>
    </row>
    <row r="131" spans="1:15">
      <c r="A131" t="s">
        <v>185</v>
      </c>
      <c r="B131" s="2">
        <v>45821</v>
      </c>
      <c r="C131" t="s">
        <v>41</v>
      </c>
      <c r="D131" t="s">
        <v>28</v>
      </c>
      <c r="E131" t="s">
        <v>37</v>
      </c>
      <c r="F131" t="s">
        <v>38</v>
      </c>
      <c r="G131" t="s">
        <v>20</v>
      </c>
      <c r="H131" t="s">
        <v>21</v>
      </c>
      <c r="I131">
        <v>0</v>
      </c>
      <c r="J131">
        <v>0.85</v>
      </c>
      <c r="K131">
        <v>2.39</v>
      </c>
      <c r="L131">
        <v>2.0499999999999998</v>
      </c>
      <c r="M131">
        <v>153.54</v>
      </c>
      <c r="N131">
        <v>92.25</v>
      </c>
      <c r="O131">
        <f>SUM($M131:N131)</f>
        <v>245.79</v>
      </c>
    </row>
    <row r="132" spans="1:15">
      <c r="A132" t="s">
        <v>186</v>
      </c>
      <c r="B132" s="2">
        <v>45822</v>
      </c>
      <c r="C132" t="s">
        <v>65</v>
      </c>
      <c r="D132" t="s">
        <v>28</v>
      </c>
      <c r="E132" t="s">
        <v>33</v>
      </c>
      <c r="F132" t="s">
        <v>30</v>
      </c>
      <c r="G132" t="s">
        <v>57</v>
      </c>
      <c r="H132" t="s">
        <v>34</v>
      </c>
      <c r="I132">
        <v>0</v>
      </c>
      <c r="J132">
        <v>0.55000000000000004</v>
      </c>
      <c r="K132">
        <v>1.87</v>
      </c>
      <c r="L132">
        <v>1.8</v>
      </c>
      <c r="M132">
        <v>153.41999999999999</v>
      </c>
      <c r="N132">
        <v>72</v>
      </c>
      <c r="O132">
        <f>SUM($M132:N132)</f>
        <v>225.42</v>
      </c>
    </row>
    <row r="133" spans="1:15">
      <c r="A133" t="s">
        <v>187</v>
      </c>
      <c r="B133" s="2">
        <v>45822</v>
      </c>
      <c r="C133" t="s">
        <v>32</v>
      </c>
      <c r="D133" t="s">
        <v>28</v>
      </c>
      <c r="E133" t="s">
        <v>29</v>
      </c>
      <c r="F133" t="s">
        <v>38</v>
      </c>
      <c r="G133" t="s">
        <v>20</v>
      </c>
      <c r="H133" t="s">
        <v>39</v>
      </c>
      <c r="I133">
        <v>0</v>
      </c>
      <c r="J133">
        <v>0.71</v>
      </c>
      <c r="K133">
        <v>1.97</v>
      </c>
      <c r="L133">
        <v>1.79</v>
      </c>
      <c r="M133">
        <v>143.34</v>
      </c>
      <c r="N133">
        <v>71.599999999999994</v>
      </c>
      <c r="O133">
        <f>SUM($M133:N133)</f>
        <v>214.94</v>
      </c>
    </row>
    <row r="134" spans="1:15">
      <c r="A134" t="s">
        <v>188</v>
      </c>
      <c r="B134" s="2">
        <v>45822</v>
      </c>
      <c r="C134" t="s">
        <v>36</v>
      </c>
      <c r="D134" t="s">
        <v>44</v>
      </c>
      <c r="E134" t="s">
        <v>18</v>
      </c>
      <c r="F134" t="s">
        <v>62</v>
      </c>
      <c r="G134" t="s">
        <v>20</v>
      </c>
      <c r="H134" t="s">
        <v>39</v>
      </c>
      <c r="I134">
        <v>1</v>
      </c>
      <c r="J134">
        <v>2.61</v>
      </c>
      <c r="K134">
        <v>1.84</v>
      </c>
      <c r="L134">
        <v>2.1800000000000002</v>
      </c>
      <c r="M134">
        <v>1132.18</v>
      </c>
      <c r="N134">
        <v>76.3</v>
      </c>
      <c r="O134">
        <f>SUM($M134:N134)</f>
        <v>1208.48</v>
      </c>
    </row>
    <row r="135" spans="1:15">
      <c r="A135" t="s">
        <v>189</v>
      </c>
      <c r="B135" s="2">
        <v>45824</v>
      </c>
      <c r="C135" t="s">
        <v>16</v>
      </c>
      <c r="D135" t="s">
        <v>44</v>
      </c>
      <c r="E135" t="s">
        <v>47</v>
      </c>
      <c r="F135" t="s">
        <v>30</v>
      </c>
      <c r="G135" t="s">
        <v>20</v>
      </c>
      <c r="H135" t="s">
        <v>21</v>
      </c>
      <c r="I135">
        <v>1</v>
      </c>
      <c r="J135">
        <v>4.5199999999999996</v>
      </c>
      <c r="K135">
        <v>4.3600000000000003</v>
      </c>
      <c r="L135">
        <v>4.41</v>
      </c>
      <c r="M135">
        <v>671.57</v>
      </c>
      <c r="N135">
        <v>198.45</v>
      </c>
      <c r="O135">
        <f>SUM($M135:N135)</f>
        <v>870.02</v>
      </c>
    </row>
    <row r="136" spans="1:15">
      <c r="A136" t="s">
        <v>190</v>
      </c>
      <c r="B136" s="2">
        <v>45824</v>
      </c>
      <c r="C136" t="s">
        <v>49</v>
      </c>
      <c r="D136" t="s">
        <v>17</v>
      </c>
      <c r="E136" t="s">
        <v>68</v>
      </c>
      <c r="F136" t="s">
        <v>19</v>
      </c>
      <c r="G136" t="s">
        <v>20</v>
      </c>
      <c r="H136" t="s">
        <v>69</v>
      </c>
      <c r="I136">
        <v>1</v>
      </c>
      <c r="J136">
        <v>8.7200000000000006</v>
      </c>
      <c r="K136">
        <v>6.43</v>
      </c>
      <c r="L136">
        <v>7.24</v>
      </c>
      <c r="M136">
        <v>1618.3</v>
      </c>
      <c r="N136">
        <v>325.8</v>
      </c>
      <c r="O136">
        <f>SUM($M136:N136)</f>
        <v>1944.1</v>
      </c>
    </row>
    <row r="137" spans="1:15">
      <c r="A137" t="s">
        <v>191</v>
      </c>
      <c r="B137" s="2">
        <v>45825</v>
      </c>
      <c r="C137" t="s">
        <v>61</v>
      </c>
      <c r="D137" t="s">
        <v>44</v>
      </c>
      <c r="E137" t="s">
        <v>18</v>
      </c>
      <c r="F137" t="s">
        <v>30</v>
      </c>
      <c r="G137" t="s">
        <v>20</v>
      </c>
      <c r="H137" t="s">
        <v>55</v>
      </c>
      <c r="I137">
        <v>1</v>
      </c>
      <c r="J137">
        <v>2.23</v>
      </c>
      <c r="K137">
        <v>1.56</v>
      </c>
      <c r="L137">
        <v>1.76</v>
      </c>
      <c r="M137">
        <v>41.47</v>
      </c>
      <c r="N137">
        <v>79.2</v>
      </c>
      <c r="O137">
        <f>SUM($M137:N137)</f>
        <v>120.67</v>
      </c>
    </row>
    <row r="138" spans="1:15">
      <c r="A138" t="s">
        <v>192</v>
      </c>
      <c r="B138" s="2">
        <v>45826</v>
      </c>
      <c r="C138" t="s">
        <v>53</v>
      </c>
      <c r="D138" t="s">
        <v>28</v>
      </c>
      <c r="E138" t="s">
        <v>37</v>
      </c>
      <c r="F138" t="s">
        <v>38</v>
      </c>
      <c r="G138" t="s">
        <v>20</v>
      </c>
      <c r="H138" t="s">
        <v>25</v>
      </c>
      <c r="I138">
        <v>0</v>
      </c>
      <c r="J138">
        <v>0.77</v>
      </c>
      <c r="K138">
        <v>0.57999999999999996</v>
      </c>
      <c r="L138">
        <v>0.74</v>
      </c>
      <c r="M138">
        <v>193.89</v>
      </c>
      <c r="N138">
        <v>29.6</v>
      </c>
      <c r="O138">
        <f>SUM($M138:N138)</f>
        <v>223.48999999999998</v>
      </c>
    </row>
    <row r="139" spans="1:15">
      <c r="A139" t="s">
        <v>193</v>
      </c>
      <c r="B139" s="2">
        <v>45826</v>
      </c>
      <c r="C139" t="s">
        <v>53</v>
      </c>
      <c r="D139" t="s">
        <v>28</v>
      </c>
      <c r="E139" t="s">
        <v>37</v>
      </c>
      <c r="F139" t="s">
        <v>38</v>
      </c>
      <c r="G139" t="s">
        <v>20</v>
      </c>
      <c r="H139" t="s">
        <v>25</v>
      </c>
      <c r="I139">
        <v>0</v>
      </c>
      <c r="J139">
        <v>0.78</v>
      </c>
      <c r="K139">
        <v>1.9</v>
      </c>
      <c r="L139">
        <v>2.31</v>
      </c>
      <c r="M139">
        <v>212.75</v>
      </c>
      <c r="N139">
        <v>103.95</v>
      </c>
      <c r="O139">
        <f>SUM($M139:N139)</f>
        <v>316.7</v>
      </c>
    </row>
    <row r="140" spans="1:15">
      <c r="A140" t="s">
        <v>194</v>
      </c>
      <c r="B140" s="2">
        <v>45827</v>
      </c>
      <c r="C140" t="s">
        <v>79</v>
      </c>
      <c r="D140" t="s">
        <v>28</v>
      </c>
      <c r="E140" t="s">
        <v>37</v>
      </c>
      <c r="F140" t="s">
        <v>38</v>
      </c>
      <c r="G140" t="s">
        <v>20</v>
      </c>
      <c r="H140" t="s">
        <v>39</v>
      </c>
      <c r="I140">
        <v>0</v>
      </c>
      <c r="J140">
        <v>0.8</v>
      </c>
      <c r="K140">
        <v>0.41</v>
      </c>
      <c r="L140">
        <v>0.53</v>
      </c>
      <c r="M140">
        <v>129.63999999999999</v>
      </c>
      <c r="N140">
        <v>23.85</v>
      </c>
      <c r="O140">
        <f>SUM($M140:N140)</f>
        <v>153.48999999999998</v>
      </c>
    </row>
    <row r="141" spans="1:15">
      <c r="A141" t="s">
        <v>195</v>
      </c>
      <c r="B141" s="2">
        <v>45828</v>
      </c>
      <c r="C141" t="s">
        <v>16</v>
      </c>
      <c r="D141" t="s">
        <v>28</v>
      </c>
      <c r="E141" t="s">
        <v>42</v>
      </c>
      <c r="F141" t="s">
        <v>38</v>
      </c>
      <c r="G141" t="s">
        <v>20</v>
      </c>
      <c r="H141" t="s">
        <v>69</v>
      </c>
      <c r="I141">
        <v>0</v>
      </c>
      <c r="J141">
        <v>1.33</v>
      </c>
      <c r="K141">
        <v>2.67</v>
      </c>
      <c r="L141">
        <v>2.88</v>
      </c>
      <c r="M141">
        <v>230.83</v>
      </c>
      <c r="N141">
        <v>129.6</v>
      </c>
      <c r="O141">
        <f>SUM($M141:N141)</f>
        <v>360.43</v>
      </c>
    </row>
    <row r="142" spans="1:15">
      <c r="A142" t="s">
        <v>196</v>
      </c>
      <c r="B142" s="2">
        <v>45828</v>
      </c>
      <c r="C142" t="s">
        <v>61</v>
      </c>
      <c r="D142" t="s">
        <v>44</v>
      </c>
      <c r="E142" t="s">
        <v>47</v>
      </c>
      <c r="F142" t="s">
        <v>62</v>
      </c>
      <c r="G142" t="s">
        <v>63</v>
      </c>
      <c r="H142" t="s">
        <v>45</v>
      </c>
      <c r="I142">
        <v>1</v>
      </c>
      <c r="J142">
        <v>3.38</v>
      </c>
      <c r="K142">
        <v>4.37</v>
      </c>
      <c r="L142">
        <v>5.33</v>
      </c>
      <c r="M142">
        <v>745.19</v>
      </c>
      <c r="N142">
        <v>266.5</v>
      </c>
      <c r="O142">
        <f>SUM($M142:N142)</f>
        <v>1011.69</v>
      </c>
    </row>
    <row r="143" spans="1:15">
      <c r="A143" t="s">
        <v>197</v>
      </c>
      <c r="B143" s="2">
        <v>45829</v>
      </c>
      <c r="C143" t="s">
        <v>23</v>
      </c>
      <c r="D143" t="s">
        <v>44</v>
      </c>
      <c r="E143" t="s">
        <v>54</v>
      </c>
      <c r="F143" t="s">
        <v>30</v>
      </c>
      <c r="G143" t="s">
        <v>20</v>
      </c>
      <c r="H143" t="s">
        <v>58</v>
      </c>
      <c r="I143">
        <v>1</v>
      </c>
      <c r="J143">
        <v>3.91</v>
      </c>
      <c r="K143">
        <v>2.35</v>
      </c>
      <c r="L143">
        <v>1.94</v>
      </c>
      <c r="M143">
        <v>1049.04</v>
      </c>
      <c r="N143">
        <v>87.3</v>
      </c>
      <c r="O143">
        <f>SUM($M143:N143)</f>
        <v>1136.3399999999999</v>
      </c>
    </row>
    <row r="144" spans="1:15">
      <c r="A144" t="s">
        <v>198</v>
      </c>
      <c r="B144" s="2">
        <v>45829</v>
      </c>
      <c r="C144" t="s">
        <v>41</v>
      </c>
      <c r="D144" t="s">
        <v>17</v>
      </c>
      <c r="E144" t="s">
        <v>24</v>
      </c>
      <c r="F144" t="s">
        <v>62</v>
      </c>
      <c r="G144" t="s">
        <v>63</v>
      </c>
      <c r="H144" t="s">
        <v>45</v>
      </c>
      <c r="I144">
        <v>1</v>
      </c>
      <c r="J144">
        <v>11.34</v>
      </c>
      <c r="K144">
        <v>8.19</v>
      </c>
      <c r="L144">
        <v>7.18</v>
      </c>
      <c r="M144">
        <v>1361.37</v>
      </c>
      <c r="N144">
        <v>323.10000000000002</v>
      </c>
      <c r="O144">
        <f>SUM($M144:N144)</f>
        <v>1684.4699999999998</v>
      </c>
    </row>
    <row r="145" spans="1:15">
      <c r="A145" t="s">
        <v>199</v>
      </c>
      <c r="B145" s="2">
        <v>45830</v>
      </c>
      <c r="C145" t="s">
        <v>23</v>
      </c>
      <c r="D145" t="s">
        <v>28</v>
      </c>
      <c r="E145" t="s">
        <v>42</v>
      </c>
      <c r="F145" t="s">
        <v>30</v>
      </c>
      <c r="G145" t="s">
        <v>20</v>
      </c>
      <c r="H145" t="s">
        <v>25</v>
      </c>
      <c r="I145">
        <v>0</v>
      </c>
      <c r="J145">
        <v>0.05</v>
      </c>
      <c r="K145">
        <v>0.56999999999999995</v>
      </c>
      <c r="L145">
        <v>0.75</v>
      </c>
      <c r="M145">
        <v>222.34</v>
      </c>
      <c r="N145">
        <v>30</v>
      </c>
      <c r="O145">
        <f>SUM($M145:N145)</f>
        <v>252.34</v>
      </c>
    </row>
    <row r="146" spans="1:15">
      <c r="A146" t="s">
        <v>200</v>
      </c>
      <c r="B146" s="2">
        <v>45830</v>
      </c>
      <c r="C146" t="s">
        <v>32</v>
      </c>
      <c r="D146" t="s">
        <v>44</v>
      </c>
      <c r="E146" t="s">
        <v>51</v>
      </c>
      <c r="F146" t="s">
        <v>62</v>
      </c>
      <c r="G146" t="s">
        <v>20</v>
      </c>
      <c r="H146" t="s">
        <v>58</v>
      </c>
      <c r="I146">
        <v>1</v>
      </c>
      <c r="J146">
        <v>3.83</v>
      </c>
      <c r="K146">
        <v>6.02</v>
      </c>
      <c r="L146">
        <v>5.83</v>
      </c>
      <c r="M146">
        <v>806.38</v>
      </c>
      <c r="N146">
        <v>233.2</v>
      </c>
      <c r="O146">
        <f>SUM($M146:N146)</f>
        <v>1039.58</v>
      </c>
    </row>
    <row r="147" spans="1:15">
      <c r="A147" t="s">
        <v>201</v>
      </c>
      <c r="B147" s="2">
        <v>45831</v>
      </c>
      <c r="C147" t="s">
        <v>65</v>
      </c>
      <c r="D147" t="s">
        <v>28</v>
      </c>
      <c r="E147" t="s">
        <v>42</v>
      </c>
      <c r="F147" t="s">
        <v>38</v>
      </c>
      <c r="G147" t="s">
        <v>20</v>
      </c>
      <c r="H147" t="s">
        <v>39</v>
      </c>
      <c r="I147">
        <v>0</v>
      </c>
      <c r="J147">
        <v>0.68</v>
      </c>
      <c r="K147">
        <v>1.22</v>
      </c>
      <c r="L147">
        <v>1.02</v>
      </c>
      <c r="M147">
        <v>84.78</v>
      </c>
      <c r="N147">
        <v>35.700000000000003</v>
      </c>
      <c r="O147">
        <f>SUM($M147:N147)</f>
        <v>120.48</v>
      </c>
    </row>
    <row r="148" spans="1:15">
      <c r="A148" t="s">
        <v>202</v>
      </c>
      <c r="B148" s="2">
        <v>45834</v>
      </c>
      <c r="C148" t="s">
        <v>72</v>
      </c>
      <c r="D148" t="s">
        <v>28</v>
      </c>
      <c r="E148" t="s">
        <v>29</v>
      </c>
      <c r="F148" t="s">
        <v>30</v>
      </c>
      <c r="G148" t="s">
        <v>20</v>
      </c>
      <c r="H148" t="s">
        <v>55</v>
      </c>
      <c r="I148">
        <v>0</v>
      </c>
      <c r="J148">
        <v>1.03</v>
      </c>
      <c r="K148">
        <v>1.37</v>
      </c>
      <c r="L148">
        <v>1.48</v>
      </c>
      <c r="M148">
        <v>218.43</v>
      </c>
      <c r="N148">
        <v>51.8</v>
      </c>
      <c r="O148">
        <f>SUM($M148:N148)</f>
        <v>270.23</v>
      </c>
    </row>
    <row r="149" spans="1:15">
      <c r="A149" t="s">
        <v>203</v>
      </c>
      <c r="B149" s="2">
        <v>45835</v>
      </c>
      <c r="C149" t="s">
        <v>27</v>
      </c>
      <c r="D149" t="s">
        <v>28</v>
      </c>
      <c r="E149" t="s">
        <v>33</v>
      </c>
      <c r="F149" t="s">
        <v>30</v>
      </c>
      <c r="G149" t="s">
        <v>20</v>
      </c>
      <c r="H149" t="s">
        <v>21</v>
      </c>
      <c r="I149">
        <v>0</v>
      </c>
      <c r="J149">
        <v>0.01</v>
      </c>
      <c r="K149">
        <v>0.28000000000000003</v>
      </c>
      <c r="L149">
        <v>0.5</v>
      </c>
      <c r="M149">
        <v>50.06</v>
      </c>
      <c r="N149">
        <v>22.5</v>
      </c>
      <c r="O149">
        <f>SUM($M149:N149)</f>
        <v>72.56</v>
      </c>
    </row>
    <row r="150" spans="1:15">
      <c r="A150" t="s">
        <v>204</v>
      </c>
      <c r="B150" s="2">
        <v>45837</v>
      </c>
      <c r="C150" t="s">
        <v>41</v>
      </c>
      <c r="D150" t="s">
        <v>44</v>
      </c>
      <c r="E150" t="s">
        <v>18</v>
      </c>
      <c r="F150" t="s">
        <v>62</v>
      </c>
      <c r="G150" t="s">
        <v>20</v>
      </c>
      <c r="H150" t="s">
        <v>69</v>
      </c>
      <c r="I150">
        <v>1</v>
      </c>
      <c r="J150">
        <v>0.24</v>
      </c>
      <c r="K150">
        <v>5.85</v>
      </c>
      <c r="L150">
        <v>7.32</v>
      </c>
      <c r="M150">
        <v>667.97</v>
      </c>
      <c r="N150">
        <v>329.4</v>
      </c>
      <c r="O150">
        <f>SUM($M150:N150)</f>
        <v>997.37</v>
      </c>
    </row>
    <row r="151" spans="1:15">
      <c r="A151" t="s">
        <v>205</v>
      </c>
      <c r="B151" s="2">
        <v>45837</v>
      </c>
      <c r="C151" t="s">
        <v>72</v>
      </c>
      <c r="D151" t="s">
        <v>28</v>
      </c>
      <c r="E151" t="s">
        <v>29</v>
      </c>
      <c r="F151" t="s">
        <v>38</v>
      </c>
      <c r="G151" t="s">
        <v>20</v>
      </c>
      <c r="H151" t="s">
        <v>34</v>
      </c>
      <c r="I151">
        <v>0</v>
      </c>
      <c r="J151">
        <v>0.63</v>
      </c>
      <c r="K151">
        <v>0.95</v>
      </c>
      <c r="L151">
        <v>0.85</v>
      </c>
      <c r="M151">
        <v>180.99</v>
      </c>
      <c r="N151">
        <v>29.75</v>
      </c>
      <c r="O151">
        <f>SUM($M151:N151)</f>
        <v>210.74</v>
      </c>
    </row>
    <row r="152" spans="1:15">
      <c r="A152" t="s">
        <v>206</v>
      </c>
      <c r="B152" s="2">
        <v>45838</v>
      </c>
      <c r="C152" t="s">
        <v>65</v>
      </c>
      <c r="D152" t="s">
        <v>28</v>
      </c>
      <c r="E152" t="s">
        <v>37</v>
      </c>
      <c r="F152" t="s">
        <v>38</v>
      </c>
      <c r="G152" t="s">
        <v>20</v>
      </c>
      <c r="H152" t="s">
        <v>69</v>
      </c>
      <c r="I152">
        <v>0</v>
      </c>
      <c r="J152">
        <v>0.16</v>
      </c>
      <c r="K152">
        <v>0.84</v>
      </c>
      <c r="L152">
        <v>1.06</v>
      </c>
      <c r="M152">
        <v>267.3</v>
      </c>
      <c r="N152">
        <v>47.7</v>
      </c>
      <c r="O152">
        <f>SUM($M152:N152)</f>
        <v>315</v>
      </c>
    </row>
    <row r="153" spans="1:15">
      <c r="A153" t="s">
        <v>207</v>
      </c>
      <c r="B153" s="2">
        <v>45838</v>
      </c>
      <c r="C153" t="s">
        <v>61</v>
      </c>
      <c r="D153" t="s">
        <v>28</v>
      </c>
      <c r="E153" t="s">
        <v>29</v>
      </c>
      <c r="F153" t="s">
        <v>38</v>
      </c>
      <c r="G153" t="s">
        <v>63</v>
      </c>
      <c r="H153" t="s">
        <v>34</v>
      </c>
      <c r="I153">
        <v>0</v>
      </c>
      <c r="J153">
        <v>0.72</v>
      </c>
      <c r="K153">
        <v>1.6</v>
      </c>
      <c r="L153">
        <v>1.79</v>
      </c>
      <c r="M153">
        <v>53.43</v>
      </c>
      <c r="N153">
        <v>71.599999999999994</v>
      </c>
      <c r="O153">
        <f>SUM($M153:N153)</f>
        <v>125.03</v>
      </c>
    </row>
    <row r="154" spans="1:15">
      <c r="A154" t="s">
        <v>208</v>
      </c>
      <c r="B154" s="2">
        <v>45838</v>
      </c>
      <c r="C154" t="s">
        <v>79</v>
      </c>
      <c r="D154" t="s">
        <v>44</v>
      </c>
      <c r="E154" t="s">
        <v>47</v>
      </c>
      <c r="F154" t="s">
        <v>30</v>
      </c>
      <c r="G154" t="s">
        <v>20</v>
      </c>
      <c r="H154" t="s">
        <v>34</v>
      </c>
      <c r="I154">
        <v>1</v>
      </c>
      <c r="J154">
        <v>0.81</v>
      </c>
      <c r="K154">
        <v>6.31</v>
      </c>
      <c r="L154">
        <v>7.92</v>
      </c>
      <c r="M154">
        <v>787.56</v>
      </c>
      <c r="N154">
        <v>316.8</v>
      </c>
      <c r="O154">
        <f>SUM($M154:N154)</f>
        <v>1104.3599999999999</v>
      </c>
    </row>
    <row r="155" spans="1:15">
      <c r="A155" t="s">
        <v>209</v>
      </c>
      <c r="B155" s="2">
        <v>45839</v>
      </c>
      <c r="C155" t="s">
        <v>53</v>
      </c>
      <c r="D155" t="s">
        <v>28</v>
      </c>
      <c r="E155" t="s">
        <v>42</v>
      </c>
      <c r="F155" t="s">
        <v>30</v>
      </c>
      <c r="G155" t="s">
        <v>20</v>
      </c>
      <c r="H155" t="s">
        <v>55</v>
      </c>
      <c r="I155">
        <v>0</v>
      </c>
      <c r="J155">
        <v>0.55000000000000004</v>
      </c>
      <c r="K155">
        <v>1</v>
      </c>
      <c r="L155">
        <v>0.83</v>
      </c>
      <c r="M155">
        <v>240.96</v>
      </c>
      <c r="N155">
        <v>33.200000000000003</v>
      </c>
      <c r="O155">
        <f>SUM($M155:N155)</f>
        <v>274.16000000000003</v>
      </c>
    </row>
    <row r="156" spans="1:15">
      <c r="A156" t="s">
        <v>210</v>
      </c>
      <c r="B156" s="2">
        <v>45839</v>
      </c>
      <c r="C156" t="s">
        <v>32</v>
      </c>
      <c r="D156" t="s">
        <v>44</v>
      </c>
      <c r="E156" t="s">
        <v>51</v>
      </c>
      <c r="F156" t="s">
        <v>30</v>
      </c>
      <c r="G156" t="s">
        <v>20</v>
      </c>
      <c r="H156" t="s">
        <v>25</v>
      </c>
      <c r="I156">
        <v>1</v>
      </c>
      <c r="J156">
        <v>5.24</v>
      </c>
      <c r="K156">
        <v>4.55</v>
      </c>
      <c r="L156">
        <v>4.88</v>
      </c>
      <c r="M156">
        <v>649.47</v>
      </c>
      <c r="N156">
        <v>219.6</v>
      </c>
      <c r="O156">
        <f>SUM($M156:N156)</f>
        <v>869.07</v>
      </c>
    </row>
    <row r="157" spans="1:15">
      <c r="A157" t="s">
        <v>211</v>
      </c>
      <c r="B157" s="2">
        <v>45840</v>
      </c>
      <c r="C157" t="s">
        <v>16</v>
      </c>
      <c r="D157" t="s">
        <v>44</v>
      </c>
      <c r="E157" t="s">
        <v>86</v>
      </c>
      <c r="F157" t="s">
        <v>62</v>
      </c>
      <c r="G157" t="s">
        <v>20</v>
      </c>
      <c r="H157" t="s">
        <v>69</v>
      </c>
      <c r="I157">
        <v>1</v>
      </c>
      <c r="J157">
        <v>1.02</v>
      </c>
      <c r="K157">
        <v>7.43</v>
      </c>
      <c r="L157">
        <v>8.15</v>
      </c>
      <c r="M157">
        <v>999.25</v>
      </c>
      <c r="N157">
        <v>366.75</v>
      </c>
      <c r="O157">
        <f>SUM($M157:N157)</f>
        <v>1366</v>
      </c>
    </row>
    <row r="158" spans="1:15">
      <c r="A158" t="s">
        <v>212</v>
      </c>
      <c r="B158" s="2">
        <v>45840</v>
      </c>
      <c r="C158" t="s">
        <v>16</v>
      </c>
      <c r="D158" t="s">
        <v>28</v>
      </c>
      <c r="E158" t="s">
        <v>42</v>
      </c>
      <c r="F158" t="s">
        <v>38</v>
      </c>
      <c r="G158" t="s">
        <v>20</v>
      </c>
      <c r="H158" t="s">
        <v>69</v>
      </c>
      <c r="I158">
        <v>0</v>
      </c>
      <c r="J158">
        <v>1.59</v>
      </c>
      <c r="K158">
        <v>2.36</v>
      </c>
      <c r="L158">
        <v>2.15</v>
      </c>
      <c r="M158">
        <v>85.49</v>
      </c>
      <c r="N158">
        <v>75.25</v>
      </c>
      <c r="O158">
        <f>SUM($M158:N158)</f>
        <v>160.74</v>
      </c>
    </row>
    <row r="159" spans="1:15">
      <c r="A159" t="s">
        <v>213</v>
      </c>
      <c r="B159" s="2">
        <v>45842</v>
      </c>
      <c r="C159" t="s">
        <v>16</v>
      </c>
      <c r="D159" t="s">
        <v>44</v>
      </c>
      <c r="E159" t="s">
        <v>54</v>
      </c>
      <c r="F159" t="s">
        <v>62</v>
      </c>
      <c r="G159" t="s">
        <v>20</v>
      </c>
      <c r="H159" t="s">
        <v>58</v>
      </c>
      <c r="I159">
        <v>1</v>
      </c>
      <c r="J159">
        <v>4.91</v>
      </c>
      <c r="K159">
        <v>9.25</v>
      </c>
      <c r="L159">
        <v>11.29</v>
      </c>
      <c r="M159">
        <v>216.23</v>
      </c>
      <c r="N159">
        <v>451.6</v>
      </c>
      <c r="O159">
        <f>SUM($M159:N159)</f>
        <v>667.83</v>
      </c>
    </row>
    <row r="160" spans="1:15">
      <c r="A160" t="s">
        <v>214</v>
      </c>
      <c r="B160" s="2">
        <v>45842</v>
      </c>
      <c r="C160" t="s">
        <v>65</v>
      </c>
      <c r="D160" t="s">
        <v>44</v>
      </c>
      <c r="E160" t="s">
        <v>68</v>
      </c>
      <c r="F160" t="s">
        <v>30</v>
      </c>
      <c r="G160" t="s">
        <v>20</v>
      </c>
      <c r="H160" t="s">
        <v>25</v>
      </c>
      <c r="I160">
        <v>1</v>
      </c>
      <c r="J160">
        <v>2.56</v>
      </c>
      <c r="K160">
        <v>0.79</v>
      </c>
      <c r="L160">
        <v>0.69</v>
      </c>
      <c r="M160">
        <v>827.51</v>
      </c>
      <c r="N160">
        <v>31.05</v>
      </c>
      <c r="O160">
        <f>SUM($M160:N160)</f>
        <v>858.56</v>
      </c>
    </row>
    <row r="161" spans="1:15">
      <c r="A161" t="s">
        <v>215</v>
      </c>
      <c r="B161" s="2">
        <v>45845</v>
      </c>
      <c r="C161" t="s">
        <v>72</v>
      </c>
      <c r="D161" t="s">
        <v>44</v>
      </c>
      <c r="E161" t="s">
        <v>68</v>
      </c>
      <c r="F161" t="s">
        <v>62</v>
      </c>
      <c r="G161" t="s">
        <v>20</v>
      </c>
      <c r="H161" t="s">
        <v>45</v>
      </c>
      <c r="I161">
        <v>1</v>
      </c>
      <c r="J161">
        <v>2.37</v>
      </c>
      <c r="K161">
        <v>1.58</v>
      </c>
      <c r="L161">
        <v>1.63</v>
      </c>
      <c r="M161">
        <v>288.63</v>
      </c>
      <c r="N161">
        <v>57.05</v>
      </c>
      <c r="O161">
        <f>SUM($M161:N161)</f>
        <v>345.68</v>
      </c>
    </row>
    <row r="162" spans="1:15">
      <c r="A162" t="s">
        <v>216</v>
      </c>
      <c r="B162" s="2">
        <v>45848</v>
      </c>
      <c r="C162" t="s">
        <v>53</v>
      </c>
      <c r="D162" t="s">
        <v>28</v>
      </c>
      <c r="E162" t="s">
        <v>37</v>
      </c>
      <c r="F162" t="s">
        <v>38</v>
      </c>
      <c r="G162" t="s">
        <v>20</v>
      </c>
      <c r="H162" t="s">
        <v>39</v>
      </c>
      <c r="I162">
        <v>0</v>
      </c>
      <c r="J162">
        <v>0</v>
      </c>
      <c r="K162">
        <v>1.43</v>
      </c>
      <c r="L162">
        <v>1.17</v>
      </c>
      <c r="M162">
        <v>149.61000000000001</v>
      </c>
      <c r="N162">
        <v>46.8</v>
      </c>
      <c r="O162">
        <f>SUM($M162:N162)</f>
        <v>196.41000000000003</v>
      </c>
    </row>
    <row r="163" spans="1:15">
      <c r="A163" t="s">
        <v>217</v>
      </c>
      <c r="B163" s="2">
        <v>45850</v>
      </c>
      <c r="C163" t="s">
        <v>32</v>
      </c>
      <c r="D163" t="s">
        <v>44</v>
      </c>
      <c r="E163" t="s">
        <v>54</v>
      </c>
      <c r="F163" t="s">
        <v>30</v>
      </c>
      <c r="G163" t="s">
        <v>20</v>
      </c>
      <c r="H163" t="s">
        <v>58</v>
      </c>
      <c r="I163">
        <v>1</v>
      </c>
      <c r="J163">
        <v>4.9800000000000004</v>
      </c>
      <c r="K163">
        <v>5.39</v>
      </c>
      <c r="L163">
        <v>6.89</v>
      </c>
      <c r="M163">
        <v>754.57</v>
      </c>
      <c r="N163">
        <v>275.60000000000002</v>
      </c>
      <c r="O163">
        <f>SUM($M163:N163)</f>
        <v>1030.17</v>
      </c>
    </row>
    <row r="164" spans="1:15">
      <c r="A164" t="s">
        <v>218</v>
      </c>
      <c r="B164" s="2">
        <v>45855</v>
      </c>
      <c r="C164" t="s">
        <v>27</v>
      </c>
      <c r="D164" t="s">
        <v>28</v>
      </c>
      <c r="E164" t="s">
        <v>33</v>
      </c>
      <c r="F164" t="s">
        <v>38</v>
      </c>
      <c r="G164" t="s">
        <v>20</v>
      </c>
      <c r="H164" t="s">
        <v>69</v>
      </c>
      <c r="I164">
        <v>0</v>
      </c>
      <c r="J164">
        <v>0.94</v>
      </c>
      <c r="K164">
        <v>0.87</v>
      </c>
      <c r="L164">
        <v>1</v>
      </c>
      <c r="M164">
        <v>186.36</v>
      </c>
      <c r="N164">
        <v>45</v>
      </c>
      <c r="O164">
        <f>SUM($M164:N164)</f>
        <v>231.36</v>
      </c>
    </row>
    <row r="165" spans="1:15">
      <c r="A165" t="s">
        <v>219</v>
      </c>
      <c r="B165" s="2">
        <v>45856</v>
      </c>
      <c r="C165" t="s">
        <v>16</v>
      </c>
      <c r="D165" t="s">
        <v>44</v>
      </c>
      <c r="E165" t="s">
        <v>86</v>
      </c>
      <c r="F165" t="s">
        <v>30</v>
      </c>
      <c r="G165" t="s">
        <v>63</v>
      </c>
      <c r="H165" t="s">
        <v>58</v>
      </c>
      <c r="I165">
        <v>1</v>
      </c>
      <c r="J165">
        <v>1.29</v>
      </c>
      <c r="K165">
        <v>0.68</v>
      </c>
      <c r="L165">
        <v>0.72</v>
      </c>
      <c r="M165">
        <v>941.04</v>
      </c>
      <c r="N165">
        <v>32.4</v>
      </c>
      <c r="O165">
        <f>SUM($M165:N165)</f>
        <v>973.43999999999994</v>
      </c>
    </row>
    <row r="166" spans="1:15">
      <c r="A166" t="s">
        <v>220</v>
      </c>
      <c r="B166" s="2">
        <v>45857</v>
      </c>
      <c r="C166" t="s">
        <v>65</v>
      </c>
      <c r="D166" t="s">
        <v>44</v>
      </c>
      <c r="E166" t="s">
        <v>24</v>
      </c>
      <c r="F166" t="s">
        <v>30</v>
      </c>
      <c r="G166" t="s">
        <v>20</v>
      </c>
      <c r="H166" t="s">
        <v>21</v>
      </c>
      <c r="I166">
        <v>1</v>
      </c>
      <c r="J166">
        <v>2.08</v>
      </c>
      <c r="K166">
        <v>2.09</v>
      </c>
      <c r="L166">
        <v>2.37</v>
      </c>
      <c r="M166">
        <v>426.18</v>
      </c>
      <c r="N166">
        <v>106.65</v>
      </c>
      <c r="O166">
        <f>SUM($M166:N166)</f>
        <v>532.83000000000004</v>
      </c>
    </row>
    <row r="167" spans="1:15">
      <c r="A167" t="s">
        <v>221</v>
      </c>
      <c r="B167" s="2">
        <v>45857</v>
      </c>
      <c r="C167" t="s">
        <v>41</v>
      </c>
      <c r="D167" t="s">
        <v>28</v>
      </c>
      <c r="E167" t="s">
        <v>37</v>
      </c>
      <c r="F167" t="s">
        <v>30</v>
      </c>
      <c r="G167" t="s">
        <v>63</v>
      </c>
      <c r="H167" t="s">
        <v>45</v>
      </c>
      <c r="I167">
        <v>0</v>
      </c>
      <c r="J167">
        <v>1.25</v>
      </c>
      <c r="K167">
        <v>1.44</v>
      </c>
      <c r="L167">
        <v>1.19</v>
      </c>
      <c r="M167">
        <v>369.28</v>
      </c>
      <c r="N167">
        <v>53.55</v>
      </c>
      <c r="O167">
        <f>SUM($M167:N167)</f>
        <v>422.83</v>
      </c>
    </row>
    <row r="168" spans="1:15">
      <c r="A168" t="s">
        <v>222</v>
      </c>
      <c r="B168" s="2">
        <v>45857</v>
      </c>
      <c r="C168" t="s">
        <v>61</v>
      </c>
      <c r="D168" t="s">
        <v>28</v>
      </c>
      <c r="E168" t="s">
        <v>42</v>
      </c>
      <c r="F168" t="s">
        <v>30</v>
      </c>
      <c r="G168" t="s">
        <v>57</v>
      </c>
      <c r="H168" t="s">
        <v>45</v>
      </c>
      <c r="I168">
        <v>0</v>
      </c>
      <c r="J168">
        <v>0.73</v>
      </c>
      <c r="K168">
        <v>0.28000000000000003</v>
      </c>
      <c r="L168">
        <v>0.5</v>
      </c>
      <c r="M168">
        <v>163.49</v>
      </c>
      <c r="N168">
        <v>25</v>
      </c>
      <c r="O168">
        <f>SUM($M168:N168)</f>
        <v>188.49</v>
      </c>
    </row>
    <row r="169" spans="1:15">
      <c r="A169" t="s">
        <v>223</v>
      </c>
      <c r="B169" s="2">
        <v>45860</v>
      </c>
      <c r="C169" t="s">
        <v>61</v>
      </c>
      <c r="D169" t="s">
        <v>44</v>
      </c>
      <c r="E169" t="s">
        <v>86</v>
      </c>
      <c r="F169" t="s">
        <v>30</v>
      </c>
      <c r="G169" t="s">
        <v>20</v>
      </c>
      <c r="H169" t="s">
        <v>69</v>
      </c>
      <c r="I169">
        <v>1</v>
      </c>
      <c r="J169">
        <v>4.6399999999999997</v>
      </c>
      <c r="K169">
        <v>3.53</v>
      </c>
      <c r="L169">
        <v>4.75</v>
      </c>
      <c r="M169">
        <v>491.59</v>
      </c>
      <c r="N169">
        <v>166.25</v>
      </c>
      <c r="O169">
        <f>SUM($M169:N169)</f>
        <v>657.83999999999992</v>
      </c>
    </row>
    <row r="170" spans="1:15">
      <c r="A170" t="s">
        <v>224</v>
      </c>
      <c r="B170" s="2">
        <v>45860</v>
      </c>
      <c r="C170" t="s">
        <v>16</v>
      </c>
      <c r="D170" t="s">
        <v>17</v>
      </c>
      <c r="E170" t="s">
        <v>51</v>
      </c>
      <c r="F170" t="s">
        <v>62</v>
      </c>
      <c r="G170" t="s">
        <v>20</v>
      </c>
      <c r="H170" t="s">
        <v>58</v>
      </c>
      <c r="I170">
        <v>1</v>
      </c>
      <c r="J170">
        <v>5.73</v>
      </c>
      <c r="K170">
        <v>17.73</v>
      </c>
      <c r="L170">
        <v>22.69</v>
      </c>
      <c r="M170">
        <v>1810.83</v>
      </c>
      <c r="N170">
        <v>907.6</v>
      </c>
      <c r="O170">
        <f>SUM($M170:N170)</f>
        <v>2718.43</v>
      </c>
    </row>
    <row r="171" spans="1:15">
      <c r="A171" t="s">
        <v>225</v>
      </c>
      <c r="B171" s="2">
        <v>45860</v>
      </c>
      <c r="C171" t="s">
        <v>41</v>
      </c>
      <c r="D171" t="s">
        <v>28</v>
      </c>
      <c r="E171" t="s">
        <v>42</v>
      </c>
      <c r="F171" t="s">
        <v>38</v>
      </c>
      <c r="G171" t="s">
        <v>20</v>
      </c>
      <c r="H171" t="s">
        <v>39</v>
      </c>
      <c r="I171">
        <v>0</v>
      </c>
      <c r="J171">
        <v>1.21</v>
      </c>
      <c r="K171">
        <v>1.46</v>
      </c>
      <c r="L171">
        <v>1.2</v>
      </c>
      <c r="M171">
        <v>116.36</v>
      </c>
      <c r="N171">
        <v>48</v>
      </c>
      <c r="O171">
        <f>SUM($M171:N171)</f>
        <v>164.36</v>
      </c>
    </row>
    <row r="172" spans="1:15">
      <c r="A172" t="s">
        <v>226</v>
      </c>
      <c r="B172" s="2">
        <v>45861</v>
      </c>
      <c r="C172" t="s">
        <v>53</v>
      </c>
      <c r="D172" t="s">
        <v>28</v>
      </c>
      <c r="E172" t="s">
        <v>42</v>
      </c>
      <c r="F172" t="s">
        <v>38</v>
      </c>
      <c r="G172" t="s">
        <v>20</v>
      </c>
      <c r="H172" t="s">
        <v>39</v>
      </c>
      <c r="I172">
        <v>0</v>
      </c>
      <c r="J172">
        <v>0.55000000000000004</v>
      </c>
      <c r="K172">
        <v>1.07</v>
      </c>
      <c r="L172">
        <v>0.97</v>
      </c>
      <c r="M172">
        <v>81.52</v>
      </c>
      <c r="N172">
        <v>43.65</v>
      </c>
      <c r="O172">
        <f>SUM($M172:N172)</f>
        <v>125.16999999999999</v>
      </c>
    </row>
    <row r="173" spans="1:15">
      <c r="A173" t="s">
        <v>227</v>
      </c>
      <c r="B173" s="2">
        <v>45862</v>
      </c>
      <c r="C173" t="s">
        <v>16</v>
      </c>
      <c r="D173" t="s">
        <v>28</v>
      </c>
      <c r="E173" t="s">
        <v>29</v>
      </c>
      <c r="F173" t="s">
        <v>38</v>
      </c>
      <c r="G173" t="s">
        <v>20</v>
      </c>
      <c r="H173" t="s">
        <v>69</v>
      </c>
      <c r="I173">
        <v>0</v>
      </c>
      <c r="J173">
        <v>0.33</v>
      </c>
      <c r="K173">
        <v>1.82</v>
      </c>
      <c r="L173">
        <v>1.65</v>
      </c>
      <c r="M173">
        <v>214.85</v>
      </c>
      <c r="N173">
        <v>57.75</v>
      </c>
      <c r="O173">
        <f>SUM($M173:N173)</f>
        <v>272.60000000000002</v>
      </c>
    </row>
    <row r="174" spans="1:15">
      <c r="A174" t="s">
        <v>228</v>
      </c>
      <c r="B174" s="2">
        <v>45864</v>
      </c>
      <c r="C174" t="s">
        <v>53</v>
      </c>
      <c r="D174" t="s">
        <v>44</v>
      </c>
      <c r="E174" t="s">
        <v>47</v>
      </c>
      <c r="F174" t="s">
        <v>30</v>
      </c>
      <c r="G174" t="s">
        <v>20</v>
      </c>
      <c r="H174" t="s">
        <v>21</v>
      </c>
      <c r="I174">
        <v>1</v>
      </c>
      <c r="J174">
        <v>3.87</v>
      </c>
      <c r="K174">
        <v>2.7</v>
      </c>
      <c r="L174">
        <v>3.24</v>
      </c>
      <c r="M174">
        <v>834.86</v>
      </c>
      <c r="N174">
        <v>145.80000000000001</v>
      </c>
      <c r="O174">
        <f>SUM($M174:N174)</f>
        <v>980.66000000000008</v>
      </c>
    </row>
    <row r="175" spans="1:15">
      <c r="A175" t="s">
        <v>229</v>
      </c>
      <c r="B175" s="2">
        <v>45864</v>
      </c>
      <c r="C175" t="s">
        <v>41</v>
      </c>
      <c r="D175" t="s">
        <v>44</v>
      </c>
      <c r="E175" t="s">
        <v>24</v>
      </c>
      <c r="F175" t="s">
        <v>30</v>
      </c>
      <c r="G175" t="s">
        <v>20</v>
      </c>
      <c r="H175" t="s">
        <v>21</v>
      </c>
      <c r="I175">
        <v>1</v>
      </c>
      <c r="J175">
        <v>6.46</v>
      </c>
      <c r="K175">
        <v>4.2300000000000004</v>
      </c>
      <c r="L175">
        <v>3.55</v>
      </c>
      <c r="M175">
        <v>852.49</v>
      </c>
      <c r="N175">
        <v>142</v>
      </c>
      <c r="O175">
        <f>SUM($M175:N175)</f>
        <v>994.49</v>
      </c>
    </row>
    <row r="176" spans="1:15">
      <c r="A176" t="s">
        <v>230</v>
      </c>
      <c r="B176" s="2">
        <v>45864</v>
      </c>
      <c r="C176" t="s">
        <v>32</v>
      </c>
      <c r="D176" t="s">
        <v>28</v>
      </c>
      <c r="E176" t="s">
        <v>29</v>
      </c>
      <c r="F176" t="s">
        <v>30</v>
      </c>
      <c r="G176" t="s">
        <v>20</v>
      </c>
      <c r="H176" t="s">
        <v>55</v>
      </c>
      <c r="I176">
        <v>0</v>
      </c>
      <c r="J176">
        <v>0.17</v>
      </c>
      <c r="K176">
        <v>2.35</v>
      </c>
      <c r="L176">
        <v>2.65</v>
      </c>
      <c r="M176">
        <v>83.46</v>
      </c>
      <c r="N176">
        <v>132.5</v>
      </c>
      <c r="O176">
        <f>SUM($M176:N176)</f>
        <v>215.95999999999998</v>
      </c>
    </row>
    <row r="177" spans="1:15">
      <c r="A177" t="s">
        <v>231</v>
      </c>
      <c r="B177" s="2">
        <v>45865</v>
      </c>
      <c r="C177" t="s">
        <v>61</v>
      </c>
      <c r="D177" t="s">
        <v>44</v>
      </c>
      <c r="E177" t="s">
        <v>51</v>
      </c>
      <c r="F177" t="s">
        <v>30</v>
      </c>
      <c r="G177" t="s">
        <v>63</v>
      </c>
      <c r="H177" t="s">
        <v>58</v>
      </c>
      <c r="I177">
        <v>1</v>
      </c>
      <c r="J177">
        <v>3.48</v>
      </c>
      <c r="K177">
        <v>4.09</v>
      </c>
      <c r="L177">
        <v>4.83</v>
      </c>
      <c r="M177">
        <v>636.14</v>
      </c>
      <c r="N177">
        <v>193.2</v>
      </c>
      <c r="O177">
        <f>SUM($M177:N177)</f>
        <v>829.33999999999992</v>
      </c>
    </row>
    <row r="178" spans="1:15">
      <c r="A178" t="s">
        <v>232</v>
      </c>
      <c r="B178" s="2">
        <v>45866</v>
      </c>
      <c r="C178" t="s">
        <v>79</v>
      </c>
      <c r="D178" t="s">
        <v>28</v>
      </c>
      <c r="E178" t="s">
        <v>33</v>
      </c>
      <c r="F178" t="s">
        <v>38</v>
      </c>
      <c r="G178" t="s">
        <v>20</v>
      </c>
      <c r="H178" t="s">
        <v>34</v>
      </c>
      <c r="I178">
        <v>0</v>
      </c>
      <c r="J178">
        <v>0.46</v>
      </c>
      <c r="K178">
        <v>1.39</v>
      </c>
      <c r="L178">
        <v>1.49</v>
      </c>
      <c r="M178">
        <v>167.62</v>
      </c>
      <c r="N178">
        <v>59.6</v>
      </c>
      <c r="O178">
        <f>SUM($M178:N178)</f>
        <v>227.22</v>
      </c>
    </row>
    <row r="179" spans="1:15">
      <c r="A179" t="s">
        <v>233</v>
      </c>
      <c r="B179" s="2">
        <v>45867</v>
      </c>
      <c r="C179" t="s">
        <v>65</v>
      </c>
      <c r="D179" t="s">
        <v>17</v>
      </c>
      <c r="E179" t="s">
        <v>18</v>
      </c>
      <c r="F179" t="s">
        <v>62</v>
      </c>
      <c r="G179" t="s">
        <v>20</v>
      </c>
      <c r="H179" t="s">
        <v>55</v>
      </c>
      <c r="I179">
        <v>1</v>
      </c>
      <c r="J179">
        <v>6.55</v>
      </c>
      <c r="K179">
        <v>6.64</v>
      </c>
      <c r="L179">
        <v>6.62</v>
      </c>
      <c r="M179">
        <v>2554.04</v>
      </c>
      <c r="N179">
        <v>331</v>
      </c>
      <c r="O179">
        <f>SUM($M179:N179)</f>
        <v>2885.04</v>
      </c>
    </row>
    <row r="180" spans="1:15">
      <c r="A180" t="s">
        <v>234</v>
      </c>
      <c r="B180" s="2">
        <v>45869</v>
      </c>
      <c r="C180" t="s">
        <v>49</v>
      </c>
      <c r="D180" t="s">
        <v>28</v>
      </c>
      <c r="E180" t="s">
        <v>37</v>
      </c>
      <c r="F180" t="s">
        <v>30</v>
      </c>
      <c r="G180" t="s">
        <v>63</v>
      </c>
      <c r="H180" t="s">
        <v>25</v>
      </c>
      <c r="I180">
        <v>0</v>
      </c>
      <c r="J180">
        <v>0.53</v>
      </c>
      <c r="K180">
        <v>1.21</v>
      </c>
      <c r="L180">
        <v>1.24</v>
      </c>
      <c r="M180">
        <v>156.75</v>
      </c>
      <c r="N180">
        <v>43.4</v>
      </c>
      <c r="O180">
        <f>SUM($M180:N180)</f>
        <v>200.15</v>
      </c>
    </row>
    <row r="181" spans="1:15">
      <c r="A181" t="s">
        <v>235</v>
      </c>
      <c r="B181" s="2">
        <v>45870</v>
      </c>
      <c r="C181" t="s">
        <v>16</v>
      </c>
      <c r="D181" t="s">
        <v>28</v>
      </c>
      <c r="E181" t="s">
        <v>33</v>
      </c>
      <c r="F181" t="s">
        <v>38</v>
      </c>
      <c r="G181" t="s">
        <v>63</v>
      </c>
      <c r="H181" t="s">
        <v>58</v>
      </c>
      <c r="I181">
        <v>0</v>
      </c>
      <c r="J181">
        <v>0</v>
      </c>
      <c r="K181">
        <v>0.96</v>
      </c>
      <c r="L181">
        <v>1.1000000000000001</v>
      </c>
      <c r="M181">
        <v>153.86000000000001</v>
      </c>
      <c r="N181">
        <v>49.5</v>
      </c>
      <c r="O181">
        <f>SUM($M181:N181)</f>
        <v>203.36</v>
      </c>
    </row>
    <row r="182" spans="1:15">
      <c r="A182" t="s">
        <v>236</v>
      </c>
      <c r="B182" s="2">
        <v>45871</v>
      </c>
      <c r="C182" t="s">
        <v>61</v>
      </c>
      <c r="D182" t="s">
        <v>17</v>
      </c>
      <c r="E182" t="s">
        <v>51</v>
      </c>
      <c r="F182" t="s">
        <v>62</v>
      </c>
      <c r="G182" t="s">
        <v>20</v>
      </c>
      <c r="H182" t="s">
        <v>45</v>
      </c>
      <c r="I182">
        <v>1</v>
      </c>
      <c r="J182">
        <v>8.6</v>
      </c>
      <c r="K182">
        <v>4.79</v>
      </c>
      <c r="L182">
        <v>3.97</v>
      </c>
      <c r="M182">
        <v>1830.53</v>
      </c>
      <c r="N182">
        <v>158.80000000000001</v>
      </c>
      <c r="O182">
        <f>SUM($M182:N182)</f>
        <v>1989.33</v>
      </c>
    </row>
    <row r="183" spans="1:15">
      <c r="A183" t="s">
        <v>237</v>
      </c>
      <c r="B183" s="2">
        <v>45872</v>
      </c>
      <c r="C183" t="s">
        <v>36</v>
      </c>
      <c r="D183" t="s">
        <v>28</v>
      </c>
      <c r="E183" t="s">
        <v>42</v>
      </c>
      <c r="F183" t="s">
        <v>38</v>
      </c>
      <c r="G183" t="s">
        <v>20</v>
      </c>
      <c r="H183" t="s">
        <v>69</v>
      </c>
      <c r="I183">
        <v>0</v>
      </c>
      <c r="J183">
        <v>0.12</v>
      </c>
      <c r="K183">
        <v>1.05</v>
      </c>
      <c r="L183">
        <v>1.2</v>
      </c>
      <c r="M183">
        <v>94.84</v>
      </c>
      <c r="N183">
        <v>60</v>
      </c>
      <c r="O183">
        <f>SUM($M183:N183)</f>
        <v>154.84</v>
      </c>
    </row>
    <row r="184" spans="1:15">
      <c r="A184" t="s">
        <v>238</v>
      </c>
      <c r="B184" s="2">
        <v>45873</v>
      </c>
      <c r="C184" t="s">
        <v>65</v>
      </c>
      <c r="D184" t="s">
        <v>17</v>
      </c>
      <c r="E184" t="s">
        <v>47</v>
      </c>
      <c r="F184" t="s">
        <v>62</v>
      </c>
      <c r="G184" t="s">
        <v>20</v>
      </c>
      <c r="H184" t="s">
        <v>69</v>
      </c>
      <c r="I184">
        <v>1</v>
      </c>
      <c r="J184">
        <v>4.68</v>
      </c>
      <c r="K184">
        <v>4.7699999999999996</v>
      </c>
      <c r="L184">
        <v>3.86</v>
      </c>
      <c r="M184">
        <v>948.69</v>
      </c>
      <c r="N184">
        <v>173.7</v>
      </c>
      <c r="O184">
        <f>SUM($M184:N184)</f>
        <v>1122.3900000000001</v>
      </c>
    </row>
    <row r="185" spans="1:15">
      <c r="A185" t="s">
        <v>239</v>
      </c>
      <c r="B185" s="2">
        <v>45878</v>
      </c>
      <c r="C185" t="s">
        <v>32</v>
      </c>
      <c r="D185" t="s">
        <v>28</v>
      </c>
      <c r="E185" t="s">
        <v>29</v>
      </c>
      <c r="F185" t="s">
        <v>30</v>
      </c>
      <c r="G185" t="s">
        <v>20</v>
      </c>
      <c r="H185" t="s">
        <v>45</v>
      </c>
      <c r="I185">
        <v>0</v>
      </c>
      <c r="J185">
        <v>0.63</v>
      </c>
      <c r="K185">
        <v>0.9</v>
      </c>
      <c r="L185">
        <v>1.02</v>
      </c>
      <c r="M185">
        <v>233.68</v>
      </c>
      <c r="N185">
        <v>45.9</v>
      </c>
      <c r="O185">
        <f>SUM($M185:N185)</f>
        <v>279.58</v>
      </c>
    </row>
    <row r="186" spans="1:15">
      <c r="A186" t="s">
        <v>240</v>
      </c>
      <c r="B186" s="2">
        <v>45879</v>
      </c>
      <c r="C186" t="s">
        <v>72</v>
      </c>
      <c r="D186" t="s">
        <v>28</v>
      </c>
      <c r="E186" t="s">
        <v>33</v>
      </c>
      <c r="F186" t="s">
        <v>38</v>
      </c>
      <c r="G186" t="s">
        <v>20</v>
      </c>
      <c r="H186" t="s">
        <v>34</v>
      </c>
      <c r="I186">
        <v>0</v>
      </c>
      <c r="J186">
        <v>0.11</v>
      </c>
      <c r="K186">
        <v>0.92</v>
      </c>
      <c r="L186">
        <v>1.04</v>
      </c>
      <c r="M186">
        <v>278.06</v>
      </c>
      <c r="N186">
        <v>52</v>
      </c>
      <c r="O186">
        <f>SUM($M186:N186)</f>
        <v>330.06</v>
      </c>
    </row>
    <row r="187" spans="1:15">
      <c r="A187" t="s">
        <v>241</v>
      </c>
      <c r="B187" s="2">
        <v>45881</v>
      </c>
      <c r="C187" t="s">
        <v>16</v>
      </c>
      <c r="D187" t="s">
        <v>44</v>
      </c>
      <c r="E187" t="s">
        <v>68</v>
      </c>
      <c r="F187" t="s">
        <v>62</v>
      </c>
      <c r="G187" t="s">
        <v>20</v>
      </c>
      <c r="H187" t="s">
        <v>58</v>
      </c>
      <c r="I187">
        <v>1</v>
      </c>
      <c r="J187">
        <v>0.27</v>
      </c>
      <c r="K187">
        <v>4.1100000000000003</v>
      </c>
      <c r="L187">
        <v>4.8499999999999996</v>
      </c>
      <c r="M187">
        <v>248.5</v>
      </c>
      <c r="N187">
        <v>194</v>
      </c>
      <c r="O187">
        <f>SUM($M187:N187)</f>
        <v>442.5</v>
      </c>
    </row>
    <row r="188" spans="1:15">
      <c r="A188" t="s">
        <v>242</v>
      </c>
      <c r="B188" s="2">
        <v>45886</v>
      </c>
      <c r="C188" t="s">
        <v>72</v>
      </c>
      <c r="D188" t="s">
        <v>44</v>
      </c>
      <c r="E188" t="s">
        <v>24</v>
      </c>
      <c r="F188" t="s">
        <v>30</v>
      </c>
      <c r="G188" t="s">
        <v>20</v>
      </c>
      <c r="H188" t="s">
        <v>34</v>
      </c>
      <c r="I188">
        <v>1</v>
      </c>
      <c r="J188">
        <v>3.29</v>
      </c>
      <c r="K188">
        <v>2.13</v>
      </c>
      <c r="L188">
        <v>2.68</v>
      </c>
      <c r="M188">
        <v>468.84</v>
      </c>
      <c r="N188">
        <v>120.6</v>
      </c>
      <c r="O188">
        <f>SUM($M188:N188)</f>
        <v>589.43999999999994</v>
      </c>
    </row>
    <row r="189" spans="1:15">
      <c r="A189" t="s">
        <v>243</v>
      </c>
      <c r="B189" s="2">
        <v>45887</v>
      </c>
      <c r="C189" t="s">
        <v>65</v>
      </c>
      <c r="D189" t="s">
        <v>28</v>
      </c>
      <c r="E189" t="s">
        <v>42</v>
      </c>
      <c r="F189" t="s">
        <v>38</v>
      </c>
      <c r="G189" t="s">
        <v>63</v>
      </c>
      <c r="H189" t="s">
        <v>34</v>
      </c>
      <c r="I189">
        <v>0</v>
      </c>
      <c r="J189">
        <v>0.59</v>
      </c>
      <c r="K189">
        <v>1.28</v>
      </c>
      <c r="L189">
        <v>1.0900000000000001</v>
      </c>
      <c r="M189">
        <v>142.84</v>
      </c>
      <c r="N189">
        <v>49.05</v>
      </c>
      <c r="O189">
        <f>SUM($M189:N189)</f>
        <v>191.89</v>
      </c>
    </row>
    <row r="190" spans="1:15">
      <c r="A190" t="s">
        <v>244</v>
      </c>
      <c r="B190" s="2">
        <v>45887</v>
      </c>
      <c r="C190" t="s">
        <v>32</v>
      </c>
      <c r="D190" t="s">
        <v>17</v>
      </c>
      <c r="E190" t="s">
        <v>47</v>
      </c>
      <c r="F190" t="s">
        <v>19</v>
      </c>
      <c r="G190" t="s">
        <v>20</v>
      </c>
      <c r="H190" t="s">
        <v>34</v>
      </c>
      <c r="I190">
        <v>1</v>
      </c>
      <c r="J190">
        <v>16.79</v>
      </c>
      <c r="K190">
        <v>2.08</v>
      </c>
      <c r="L190">
        <v>2.27</v>
      </c>
      <c r="M190">
        <v>1872.62</v>
      </c>
      <c r="N190">
        <v>79.45</v>
      </c>
      <c r="O190">
        <f>SUM($M190:N190)</f>
        <v>1952.07</v>
      </c>
    </row>
    <row r="191" spans="1:15">
      <c r="A191" t="s">
        <v>245</v>
      </c>
      <c r="B191" s="2">
        <v>45888</v>
      </c>
      <c r="C191" t="s">
        <v>36</v>
      </c>
      <c r="D191" t="s">
        <v>44</v>
      </c>
      <c r="E191" t="s">
        <v>24</v>
      </c>
      <c r="F191" t="s">
        <v>30</v>
      </c>
      <c r="G191" t="s">
        <v>20</v>
      </c>
      <c r="H191" t="s">
        <v>34</v>
      </c>
      <c r="I191">
        <v>1</v>
      </c>
      <c r="J191">
        <v>3.05</v>
      </c>
      <c r="K191">
        <v>3.32</v>
      </c>
      <c r="L191">
        <v>3.64</v>
      </c>
      <c r="M191">
        <v>626.62</v>
      </c>
      <c r="N191">
        <v>163.80000000000001</v>
      </c>
      <c r="O191">
        <f>SUM($M191:N191)</f>
        <v>790.42000000000007</v>
      </c>
    </row>
    <row r="192" spans="1:15">
      <c r="A192" t="s">
        <v>246</v>
      </c>
      <c r="B192" s="2">
        <v>45888</v>
      </c>
      <c r="C192" t="s">
        <v>16</v>
      </c>
      <c r="D192" t="s">
        <v>44</v>
      </c>
      <c r="E192" t="s">
        <v>47</v>
      </c>
      <c r="F192" t="s">
        <v>30</v>
      </c>
      <c r="G192" t="s">
        <v>57</v>
      </c>
      <c r="H192" t="s">
        <v>45</v>
      </c>
      <c r="I192">
        <v>1</v>
      </c>
      <c r="J192">
        <v>0.27</v>
      </c>
      <c r="K192">
        <v>0.68</v>
      </c>
      <c r="L192">
        <v>0.73</v>
      </c>
      <c r="M192">
        <v>586.89</v>
      </c>
      <c r="N192">
        <v>32.85</v>
      </c>
      <c r="O192">
        <f>SUM($M192:N192)</f>
        <v>619.74</v>
      </c>
    </row>
    <row r="193" spans="1:15">
      <c r="A193" t="s">
        <v>247</v>
      </c>
      <c r="B193" s="2">
        <v>45889</v>
      </c>
      <c r="C193" t="s">
        <v>72</v>
      </c>
      <c r="D193" t="s">
        <v>28</v>
      </c>
      <c r="E193" t="s">
        <v>29</v>
      </c>
      <c r="F193" t="s">
        <v>38</v>
      </c>
      <c r="G193" t="s">
        <v>20</v>
      </c>
      <c r="H193" t="s">
        <v>21</v>
      </c>
      <c r="I193">
        <v>0</v>
      </c>
      <c r="J193">
        <v>0.77</v>
      </c>
      <c r="K193">
        <v>1.36</v>
      </c>
      <c r="L193">
        <v>1.1000000000000001</v>
      </c>
      <c r="M193">
        <v>126.56</v>
      </c>
      <c r="N193">
        <v>55</v>
      </c>
      <c r="O193">
        <f>SUM($M193:N193)</f>
        <v>181.56</v>
      </c>
    </row>
    <row r="194" spans="1:15">
      <c r="A194" t="s">
        <v>248</v>
      </c>
      <c r="B194" s="2">
        <v>45890</v>
      </c>
      <c r="C194" t="s">
        <v>41</v>
      </c>
      <c r="D194" t="s">
        <v>44</v>
      </c>
      <c r="E194" t="s">
        <v>18</v>
      </c>
      <c r="F194" t="s">
        <v>30</v>
      </c>
      <c r="G194" t="s">
        <v>20</v>
      </c>
      <c r="H194" t="s">
        <v>39</v>
      </c>
      <c r="I194">
        <v>1</v>
      </c>
      <c r="J194">
        <v>3.08</v>
      </c>
      <c r="K194">
        <v>4.53</v>
      </c>
      <c r="L194">
        <v>4.8099999999999996</v>
      </c>
      <c r="M194">
        <v>954.46</v>
      </c>
      <c r="N194">
        <v>192.4</v>
      </c>
      <c r="O194">
        <f>SUM($M194:N194)</f>
        <v>1146.8600000000001</v>
      </c>
    </row>
    <row r="195" spans="1:15">
      <c r="A195" t="s">
        <v>249</v>
      </c>
      <c r="B195" s="2">
        <v>45893</v>
      </c>
      <c r="C195" t="s">
        <v>32</v>
      </c>
      <c r="D195" t="s">
        <v>28</v>
      </c>
      <c r="E195" t="s">
        <v>33</v>
      </c>
      <c r="F195" t="s">
        <v>38</v>
      </c>
      <c r="G195" t="s">
        <v>20</v>
      </c>
      <c r="H195" t="s">
        <v>58</v>
      </c>
      <c r="I195">
        <v>0</v>
      </c>
      <c r="J195">
        <v>1.43</v>
      </c>
      <c r="K195">
        <v>0.71</v>
      </c>
      <c r="L195">
        <v>0.68</v>
      </c>
      <c r="M195">
        <v>123.89</v>
      </c>
      <c r="N195">
        <v>27.2</v>
      </c>
      <c r="O195">
        <f>SUM($M195:N195)</f>
        <v>151.09</v>
      </c>
    </row>
    <row r="196" spans="1:15">
      <c r="A196" t="s">
        <v>250</v>
      </c>
      <c r="B196" s="2">
        <v>45895</v>
      </c>
      <c r="C196" t="s">
        <v>53</v>
      </c>
      <c r="D196" t="s">
        <v>28</v>
      </c>
      <c r="E196" t="s">
        <v>33</v>
      </c>
      <c r="F196" t="s">
        <v>30</v>
      </c>
      <c r="G196" t="s">
        <v>20</v>
      </c>
      <c r="H196" t="s">
        <v>21</v>
      </c>
      <c r="I196">
        <v>0</v>
      </c>
      <c r="J196">
        <v>0.36</v>
      </c>
      <c r="K196">
        <v>0.57999999999999996</v>
      </c>
      <c r="L196">
        <v>0.76</v>
      </c>
      <c r="M196">
        <v>123.34</v>
      </c>
      <c r="N196">
        <v>34.200000000000003</v>
      </c>
      <c r="O196">
        <f>SUM($M196:N196)</f>
        <v>157.54000000000002</v>
      </c>
    </row>
    <row r="197" spans="1:15">
      <c r="A197" t="s">
        <v>251</v>
      </c>
      <c r="B197" s="2">
        <v>45896</v>
      </c>
      <c r="C197" t="s">
        <v>32</v>
      </c>
      <c r="D197" t="s">
        <v>28</v>
      </c>
      <c r="E197" t="s">
        <v>37</v>
      </c>
      <c r="F197" t="s">
        <v>38</v>
      </c>
      <c r="G197" t="s">
        <v>20</v>
      </c>
      <c r="H197" t="s">
        <v>58</v>
      </c>
      <c r="I197">
        <v>0</v>
      </c>
      <c r="J197">
        <v>0.23</v>
      </c>
      <c r="K197">
        <v>2.69</v>
      </c>
      <c r="L197">
        <v>3.61</v>
      </c>
      <c r="M197">
        <v>147.62</v>
      </c>
      <c r="N197">
        <v>144.4</v>
      </c>
      <c r="O197">
        <f>SUM($M197:N197)</f>
        <v>292.02</v>
      </c>
    </row>
    <row r="198" spans="1:15">
      <c r="A198" t="s">
        <v>252</v>
      </c>
      <c r="B198" s="2">
        <v>45896</v>
      </c>
      <c r="C198" t="s">
        <v>61</v>
      </c>
      <c r="D198" t="s">
        <v>44</v>
      </c>
      <c r="E198" t="s">
        <v>47</v>
      </c>
      <c r="F198" t="s">
        <v>30</v>
      </c>
      <c r="G198" t="s">
        <v>20</v>
      </c>
      <c r="H198" t="s">
        <v>34</v>
      </c>
      <c r="I198">
        <v>1</v>
      </c>
      <c r="J198">
        <v>3.62</v>
      </c>
      <c r="K198">
        <v>3.51</v>
      </c>
      <c r="L198">
        <v>4.26</v>
      </c>
      <c r="M198">
        <v>597.51</v>
      </c>
      <c r="N198">
        <v>149.1</v>
      </c>
      <c r="O198">
        <f>SUM($M198:N198)</f>
        <v>746.61</v>
      </c>
    </row>
    <row r="199" spans="1:15">
      <c r="A199" t="s">
        <v>253</v>
      </c>
      <c r="B199" s="2">
        <v>45899</v>
      </c>
      <c r="C199" t="s">
        <v>36</v>
      </c>
      <c r="D199" t="s">
        <v>28</v>
      </c>
      <c r="E199" t="s">
        <v>37</v>
      </c>
      <c r="F199" t="s">
        <v>38</v>
      </c>
      <c r="G199" t="s">
        <v>20</v>
      </c>
      <c r="H199" t="s">
        <v>25</v>
      </c>
      <c r="I199">
        <v>0</v>
      </c>
      <c r="J199">
        <v>0.2</v>
      </c>
      <c r="K199">
        <v>1.07</v>
      </c>
      <c r="L199">
        <v>1.18</v>
      </c>
      <c r="M199">
        <v>128.31</v>
      </c>
      <c r="N199">
        <v>47.2</v>
      </c>
      <c r="O199">
        <f>SUM($M199:N199)</f>
        <v>175.51</v>
      </c>
    </row>
    <row r="200" spans="1:15">
      <c r="A200" t="s">
        <v>254</v>
      </c>
      <c r="B200" s="2">
        <v>45899</v>
      </c>
      <c r="C200" t="s">
        <v>49</v>
      </c>
      <c r="D200" t="s">
        <v>44</v>
      </c>
      <c r="E200" t="s">
        <v>18</v>
      </c>
      <c r="F200" t="s">
        <v>30</v>
      </c>
      <c r="G200" t="s">
        <v>20</v>
      </c>
      <c r="H200" t="s">
        <v>25</v>
      </c>
      <c r="I200">
        <v>1</v>
      </c>
      <c r="J200">
        <v>1.41</v>
      </c>
      <c r="K200">
        <v>3.89</v>
      </c>
      <c r="L200">
        <v>5.0999999999999996</v>
      </c>
      <c r="M200">
        <v>715.12</v>
      </c>
      <c r="N200">
        <v>229.5</v>
      </c>
      <c r="O200">
        <f>SUM($M200:N200)</f>
        <v>944.62</v>
      </c>
    </row>
    <row r="201" spans="1:15">
      <c r="A201" t="s">
        <v>255</v>
      </c>
      <c r="B201" s="2">
        <v>45900</v>
      </c>
      <c r="C201" t="s">
        <v>41</v>
      </c>
      <c r="D201" t="s">
        <v>44</v>
      </c>
      <c r="E201" t="s">
        <v>54</v>
      </c>
      <c r="F201" t="s">
        <v>30</v>
      </c>
      <c r="G201" t="s">
        <v>20</v>
      </c>
      <c r="H201" t="s">
        <v>34</v>
      </c>
      <c r="I201">
        <v>1</v>
      </c>
      <c r="J201">
        <v>4.41</v>
      </c>
      <c r="K201">
        <v>2.02</v>
      </c>
      <c r="L201">
        <v>2.42</v>
      </c>
      <c r="M201">
        <v>409.88</v>
      </c>
      <c r="N201">
        <v>108.9</v>
      </c>
      <c r="O201">
        <f>SUM($M201:N201)</f>
        <v>518.78</v>
      </c>
    </row>
    <row r="202" spans="1:15">
      <c r="A202" t="s">
        <v>256</v>
      </c>
      <c r="B202" s="2">
        <v>45900</v>
      </c>
      <c r="C202" t="s">
        <v>27</v>
      </c>
      <c r="D202" t="s">
        <v>28</v>
      </c>
      <c r="E202" t="s">
        <v>42</v>
      </c>
      <c r="F202" t="s">
        <v>30</v>
      </c>
      <c r="G202" t="s">
        <v>63</v>
      </c>
      <c r="H202" t="s">
        <v>34</v>
      </c>
      <c r="I202">
        <v>0</v>
      </c>
      <c r="J202">
        <v>0.27</v>
      </c>
      <c r="K202">
        <v>1.25</v>
      </c>
      <c r="L202">
        <v>1.02</v>
      </c>
      <c r="M202">
        <v>175.55</v>
      </c>
      <c r="N202">
        <v>51</v>
      </c>
      <c r="O202">
        <f>SUM($M202:N202)</f>
        <v>226.55</v>
      </c>
    </row>
    <row r="203" spans="1:15">
      <c r="A203" t="s">
        <v>257</v>
      </c>
      <c r="B203" s="2">
        <v>45900</v>
      </c>
      <c r="C203" t="s">
        <v>32</v>
      </c>
      <c r="D203" t="s">
        <v>28</v>
      </c>
      <c r="E203" t="s">
        <v>33</v>
      </c>
      <c r="F203" t="s">
        <v>38</v>
      </c>
      <c r="G203" t="s">
        <v>20</v>
      </c>
      <c r="H203" t="s">
        <v>34</v>
      </c>
      <c r="I203">
        <v>0</v>
      </c>
      <c r="J203">
        <v>0.93</v>
      </c>
      <c r="K203">
        <v>1.1599999999999999</v>
      </c>
      <c r="L203">
        <v>1.1399999999999999</v>
      </c>
      <c r="M203">
        <v>124.7</v>
      </c>
      <c r="N203">
        <v>45.6</v>
      </c>
      <c r="O203">
        <f>SUM($M203:N203)</f>
        <v>170.3</v>
      </c>
    </row>
    <row r="204" spans="1:15">
      <c r="A204" t="s">
        <v>258</v>
      </c>
      <c r="B204" s="2">
        <v>45901</v>
      </c>
      <c r="C204" t="s">
        <v>61</v>
      </c>
      <c r="D204" t="s">
        <v>17</v>
      </c>
      <c r="E204" t="s">
        <v>68</v>
      </c>
      <c r="F204" t="s">
        <v>62</v>
      </c>
      <c r="G204" t="s">
        <v>20</v>
      </c>
      <c r="H204" t="s">
        <v>45</v>
      </c>
      <c r="I204">
        <v>1</v>
      </c>
      <c r="J204">
        <v>7.93</v>
      </c>
      <c r="K204">
        <v>5.91</v>
      </c>
      <c r="L204">
        <v>7.21</v>
      </c>
      <c r="M204">
        <v>1905.26</v>
      </c>
      <c r="N204">
        <v>324.45</v>
      </c>
      <c r="O204">
        <f>SUM($M204:N204)</f>
        <v>2229.71</v>
      </c>
    </row>
    <row r="205" spans="1:15">
      <c r="A205" t="s">
        <v>259</v>
      </c>
      <c r="B205" s="2">
        <v>45902</v>
      </c>
      <c r="C205" t="s">
        <v>53</v>
      </c>
      <c r="D205" t="s">
        <v>28</v>
      </c>
      <c r="E205" t="s">
        <v>37</v>
      </c>
      <c r="F205" t="s">
        <v>38</v>
      </c>
      <c r="G205" t="s">
        <v>20</v>
      </c>
      <c r="H205" t="s">
        <v>55</v>
      </c>
      <c r="I205">
        <v>0</v>
      </c>
      <c r="J205">
        <v>0.43</v>
      </c>
      <c r="K205">
        <v>1.53</v>
      </c>
      <c r="L205">
        <v>2.04</v>
      </c>
      <c r="M205">
        <v>167.38</v>
      </c>
      <c r="N205">
        <v>81.599999999999994</v>
      </c>
      <c r="O205">
        <f>SUM($M205:N205)</f>
        <v>248.98</v>
      </c>
    </row>
    <row r="206" spans="1:15">
      <c r="A206" t="s">
        <v>260</v>
      </c>
      <c r="B206" s="2">
        <v>45902</v>
      </c>
      <c r="C206" t="s">
        <v>32</v>
      </c>
      <c r="D206" t="s">
        <v>28</v>
      </c>
      <c r="E206" t="s">
        <v>33</v>
      </c>
      <c r="F206" t="s">
        <v>38</v>
      </c>
      <c r="G206" t="s">
        <v>20</v>
      </c>
      <c r="H206" t="s">
        <v>21</v>
      </c>
      <c r="I206">
        <v>0</v>
      </c>
      <c r="J206">
        <v>0.4</v>
      </c>
      <c r="K206">
        <v>1.84</v>
      </c>
      <c r="L206">
        <v>1.76</v>
      </c>
      <c r="M206">
        <v>247.56</v>
      </c>
      <c r="N206">
        <v>88</v>
      </c>
      <c r="O206">
        <f>SUM($M206:N206)</f>
        <v>335.56</v>
      </c>
    </row>
    <row r="207" spans="1:15">
      <c r="A207" t="s">
        <v>261</v>
      </c>
      <c r="B207" s="2">
        <v>45905</v>
      </c>
      <c r="C207" t="s">
        <v>16</v>
      </c>
      <c r="D207" t="s">
        <v>44</v>
      </c>
      <c r="E207" t="s">
        <v>24</v>
      </c>
      <c r="F207" t="s">
        <v>62</v>
      </c>
      <c r="G207" t="s">
        <v>20</v>
      </c>
      <c r="H207" t="s">
        <v>21</v>
      </c>
      <c r="I207">
        <v>1</v>
      </c>
      <c r="J207">
        <v>2.65</v>
      </c>
      <c r="K207">
        <v>5.58</v>
      </c>
      <c r="L207">
        <v>4.96</v>
      </c>
      <c r="M207">
        <v>531.77</v>
      </c>
      <c r="N207">
        <v>198.4</v>
      </c>
      <c r="O207">
        <f>SUM($M207:N207)</f>
        <v>730.17</v>
      </c>
    </row>
    <row r="208" spans="1:15">
      <c r="A208" t="s">
        <v>262</v>
      </c>
      <c r="B208" s="2">
        <v>45905</v>
      </c>
      <c r="C208" t="s">
        <v>16</v>
      </c>
      <c r="D208" t="s">
        <v>28</v>
      </c>
      <c r="E208" t="s">
        <v>42</v>
      </c>
      <c r="F208" t="s">
        <v>38</v>
      </c>
      <c r="G208" t="s">
        <v>20</v>
      </c>
      <c r="H208" t="s">
        <v>45</v>
      </c>
      <c r="I208">
        <v>0</v>
      </c>
      <c r="J208">
        <v>0.43</v>
      </c>
      <c r="K208">
        <v>2.29</v>
      </c>
      <c r="L208">
        <v>2.3199999999999998</v>
      </c>
      <c r="M208">
        <v>161.04</v>
      </c>
      <c r="N208">
        <v>92.8</v>
      </c>
      <c r="O208">
        <f>SUM($M208:N208)</f>
        <v>253.83999999999997</v>
      </c>
    </row>
    <row r="209" spans="1:15">
      <c r="A209" t="s">
        <v>263</v>
      </c>
      <c r="B209" s="2">
        <v>45907</v>
      </c>
      <c r="C209" t="s">
        <v>41</v>
      </c>
      <c r="D209" t="s">
        <v>28</v>
      </c>
      <c r="E209" t="s">
        <v>33</v>
      </c>
      <c r="F209" t="s">
        <v>38</v>
      </c>
      <c r="G209" t="s">
        <v>57</v>
      </c>
      <c r="H209" t="s">
        <v>58</v>
      </c>
      <c r="I209">
        <v>0</v>
      </c>
      <c r="J209">
        <v>1.17</v>
      </c>
      <c r="K209">
        <v>2.33</v>
      </c>
      <c r="L209">
        <v>1.93</v>
      </c>
      <c r="M209">
        <v>304.39999999999998</v>
      </c>
      <c r="N209">
        <v>77.2</v>
      </c>
      <c r="O209">
        <f>SUM($M209:N209)</f>
        <v>381.59999999999997</v>
      </c>
    </row>
    <row r="210" spans="1:15">
      <c r="A210" t="s">
        <v>264</v>
      </c>
      <c r="B210" s="2">
        <v>45907</v>
      </c>
      <c r="C210" t="s">
        <v>79</v>
      </c>
      <c r="D210" t="s">
        <v>28</v>
      </c>
      <c r="E210" t="s">
        <v>37</v>
      </c>
      <c r="F210" t="s">
        <v>30</v>
      </c>
      <c r="G210" t="s">
        <v>20</v>
      </c>
      <c r="H210" t="s">
        <v>21</v>
      </c>
      <c r="I210">
        <v>0</v>
      </c>
      <c r="J210">
        <v>0.71</v>
      </c>
      <c r="K210">
        <v>1.81</v>
      </c>
      <c r="L210">
        <v>1.53</v>
      </c>
      <c r="M210">
        <v>298.76</v>
      </c>
      <c r="N210">
        <v>76.5</v>
      </c>
      <c r="O210">
        <f>SUM($M210:N210)</f>
        <v>375.26</v>
      </c>
    </row>
    <row r="211" spans="1:15">
      <c r="A211" t="s">
        <v>265</v>
      </c>
      <c r="B211" s="2">
        <v>45907</v>
      </c>
      <c r="C211" t="s">
        <v>61</v>
      </c>
      <c r="D211" t="s">
        <v>44</v>
      </c>
      <c r="E211" t="s">
        <v>51</v>
      </c>
      <c r="F211" t="s">
        <v>62</v>
      </c>
      <c r="G211" t="s">
        <v>20</v>
      </c>
      <c r="H211" t="s">
        <v>45</v>
      </c>
      <c r="I211">
        <v>1</v>
      </c>
      <c r="J211">
        <v>4.18</v>
      </c>
      <c r="K211">
        <v>2.11</v>
      </c>
      <c r="L211">
        <v>2.41</v>
      </c>
      <c r="M211">
        <v>691.69</v>
      </c>
      <c r="N211">
        <v>120.5</v>
      </c>
      <c r="O211">
        <f>SUM($M211:N211)</f>
        <v>812.19</v>
      </c>
    </row>
    <row r="212" spans="1:15">
      <c r="A212" t="s">
        <v>266</v>
      </c>
      <c r="B212" s="2">
        <v>45908</v>
      </c>
      <c r="C212" t="s">
        <v>16</v>
      </c>
      <c r="D212" t="s">
        <v>28</v>
      </c>
      <c r="E212" t="s">
        <v>29</v>
      </c>
      <c r="F212" t="s">
        <v>38</v>
      </c>
      <c r="G212" t="s">
        <v>20</v>
      </c>
      <c r="H212" t="s">
        <v>55</v>
      </c>
      <c r="I212">
        <v>0</v>
      </c>
      <c r="J212">
        <v>0.64</v>
      </c>
      <c r="K212">
        <v>1.39</v>
      </c>
      <c r="L212">
        <v>1.55</v>
      </c>
      <c r="M212">
        <v>123.56</v>
      </c>
      <c r="N212">
        <v>69.75</v>
      </c>
      <c r="O212">
        <f>SUM($M212:N212)</f>
        <v>193.31</v>
      </c>
    </row>
    <row r="213" spans="1:15">
      <c r="A213" t="s">
        <v>267</v>
      </c>
      <c r="B213" s="2">
        <v>45912</v>
      </c>
      <c r="C213" t="s">
        <v>72</v>
      </c>
      <c r="D213" t="s">
        <v>17</v>
      </c>
      <c r="E213" t="s">
        <v>47</v>
      </c>
      <c r="F213" t="s">
        <v>62</v>
      </c>
      <c r="G213" t="s">
        <v>20</v>
      </c>
      <c r="H213" t="s">
        <v>25</v>
      </c>
      <c r="I213">
        <v>1</v>
      </c>
      <c r="J213">
        <v>9.1</v>
      </c>
      <c r="K213">
        <v>5.92</v>
      </c>
      <c r="L213">
        <v>6.16</v>
      </c>
      <c r="M213">
        <v>1153.8599999999999</v>
      </c>
      <c r="N213">
        <v>277.2</v>
      </c>
      <c r="O213">
        <f>SUM($M213:N213)</f>
        <v>1431.06</v>
      </c>
    </row>
    <row r="214" spans="1:15">
      <c r="A214" t="s">
        <v>268</v>
      </c>
      <c r="B214" s="2">
        <v>45912</v>
      </c>
      <c r="C214" t="s">
        <v>72</v>
      </c>
      <c r="D214" t="s">
        <v>28</v>
      </c>
      <c r="E214" t="s">
        <v>37</v>
      </c>
      <c r="F214" t="s">
        <v>38</v>
      </c>
      <c r="G214" t="s">
        <v>20</v>
      </c>
      <c r="H214" t="s">
        <v>58</v>
      </c>
      <c r="I214">
        <v>0</v>
      </c>
      <c r="J214">
        <v>0.49</v>
      </c>
      <c r="K214">
        <v>2.11</v>
      </c>
      <c r="L214">
        <v>2.16</v>
      </c>
      <c r="M214">
        <v>123.68</v>
      </c>
      <c r="N214">
        <v>75.599999999999994</v>
      </c>
      <c r="O214">
        <f>SUM($M214:N214)</f>
        <v>199.28</v>
      </c>
    </row>
    <row r="215" spans="1:15">
      <c r="A215" t="s">
        <v>269</v>
      </c>
      <c r="B215" s="2">
        <v>45912</v>
      </c>
      <c r="C215" t="s">
        <v>53</v>
      </c>
      <c r="D215" t="s">
        <v>28</v>
      </c>
      <c r="E215" t="s">
        <v>29</v>
      </c>
      <c r="F215" t="s">
        <v>30</v>
      </c>
      <c r="G215" t="s">
        <v>20</v>
      </c>
      <c r="H215" t="s">
        <v>45</v>
      </c>
      <c r="I215">
        <v>0</v>
      </c>
      <c r="J215">
        <v>0.2</v>
      </c>
      <c r="K215">
        <v>1.21</v>
      </c>
      <c r="L215">
        <v>1.38</v>
      </c>
      <c r="M215">
        <v>251.88</v>
      </c>
      <c r="N215">
        <v>62.1</v>
      </c>
      <c r="O215">
        <f>SUM($M215:N215)</f>
        <v>313.98</v>
      </c>
    </row>
    <row r="216" spans="1:15">
      <c r="A216" t="s">
        <v>270</v>
      </c>
      <c r="B216" s="2">
        <v>45913</v>
      </c>
      <c r="C216" t="s">
        <v>72</v>
      </c>
      <c r="D216" t="s">
        <v>28</v>
      </c>
      <c r="E216" t="s">
        <v>42</v>
      </c>
      <c r="F216" t="s">
        <v>38</v>
      </c>
      <c r="G216" t="s">
        <v>63</v>
      </c>
      <c r="H216" t="s">
        <v>34</v>
      </c>
      <c r="I216">
        <v>0</v>
      </c>
      <c r="J216">
        <v>1.1299999999999999</v>
      </c>
      <c r="K216">
        <v>0.87</v>
      </c>
      <c r="L216">
        <v>0.71</v>
      </c>
      <c r="M216">
        <v>334.99</v>
      </c>
      <c r="N216">
        <v>31.95</v>
      </c>
      <c r="O216">
        <f>SUM($M216:N216)</f>
        <v>366.94</v>
      </c>
    </row>
    <row r="217" spans="1:15">
      <c r="A217" t="s">
        <v>271</v>
      </c>
      <c r="B217" s="2">
        <v>45913</v>
      </c>
      <c r="C217" t="s">
        <v>61</v>
      </c>
      <c r="D217" t="s">
        <v>44</v>
      </c>
      <c r="E217" t="s">
        <v>24</v>
      </c>
      <c r="F217" t="s">
        <v>30</v>
      </c>
      <c r="G217" t="s">
        <v>57</v>
      </c>
      <c r="H217" t="s">
        <v>39</v>
      </c>
      <c r="I217">
        <v>1</v>
      </c>
      <c r="J217">
        <v>0.19</v>
      </c>
      <c r="K217">
        <v>0.67</v>
      </c>
      <c r="L217">
        <v>0.73</v>
      </c>
      <c r="M217">
        <v>1024.26</v>
      </c>
      <c r="N217">
        <v>32.85</v>
      </c>
      <c r="O217">
        <f>SUM($M217:N217)</f>
        <v>1057.1099999999999</v>
      </c>
    </row>
    <row r="218" spans="1:15">
      <c r="A218" t="s">
        <v>272</v>
      </c>
      <c r="B218" s="2">
        <v>45913</v>
      </c>
      <c r="C218" t="s">
        <v>23</v>
      </c>
      <c r="D218" t="s">
        <v>28</v>
      </c>
      <c r="E218" t="s">
        <v>42</v>
      </c>
      <c r="F218" t="s">
        <v>30</v>
      </c>
      <c r="G218" t="s">
        <v>20</v>
      </c>
      <c r="H218" t="s">
        <v>45</v>
      </c>
      <c r="I218">
        <v>0</v>
      </c>
      <c r="J218">
        <v>0</v>
      </c>
      <c r="K218">
        <v>0.62</v>
      </c>
      <c r="L218">
        <v>0.7</v>
      </c>
      <c r="M218">
        <v>187.53</v>
      </c>
      <c r="N218">
        <v>31.5</v>
      </c>
      <c r="O218">
        <f>SUM($M218:N218)</f>
        <v>219.03</v>
      </c>
    </row>
    <row r="219" spans="1:15">
      <c r="A219" t="s">
        <v>273</v>
      </c>
      <c r="B219" s="2">
        <v>45914</v>
      </c>
      <c r="C219" t="s">
        <v>41</v>
      </c>
      <c r="D219" t="s">
        <v>17</v>
      </c>
      <c r="E219" t="s">
        <v>68</v>
      </c>
      <c r="F219" t="s">
        <v>62</v>
      </c>
      <c r="G219" t="s">
        <v>20</v>
      </c>
      <c r="H219" t="s">
        <v>25</v>
      </c>
      <c r="I219">
        <v>1</v>
      </c>
      <c r="J219">
        <v>8.24</v>
      </c>
      <c r="K219">
        <v>8.0500000000000007</v>
      </c>
      <c r="L219">
        <v>9.86</v>
      </c>
      <c r="M219">
        <v>1636.91</v>
      </c>
      <c r="N219">
        <v>443.7</v>
      </c>
      <c r="O219">
        <f>SUM($M219:N219)</f>
        <v>2080.61</v>
      </c>
    </row>
    <row r="220" spans="1:15">
      <c r="A220" t="s">
        <v>274</v>
      </c>
      <c r="B220" s="2">
        <v>45915</v>
      </c>
      <c r="C220" t="s">
        <v>23</v>
      </c>
      <c r="D220" t="s">
        <v>28</v>
      </c>
      <c r="E220" t="s">
        <v>37</v>
      </c>
      <c r="F220" t="s">
        <v>38</v>
      </c>
      <c r="G220" t="s">
        <v>63</v>
      </c>
      <c r="H220" t="s">
        <v>55</v>
      </c>
      <c r="I220">
        <v>0</v>
      </c>
      <c r="J220">
        <v>0.78</v>
      </c>
      <c r="K220">
        <v>1.07</v>
      </c>
      <c r="L220">
        <v>1</v>
      </c>
      <c r="M220">
        <v>175.11</v>
      </c>
      <c r="N220">
        <v>40</v>
      </c>
      <c r="O220">
        <f>SUM($M220:N220)</f>
        <v>215.11</v>
      </c>
    </row>
    <row r="221" spans="1:15">
      <c r="A221" t="s">
        <v>275</v>
      </c>
      <c r="B221" s="2">
        <v>45919</v>
      </c>
      <c r="C221" t="s">
        <v>61</v>
      </c>
      <c r="D221" t="s">
        <v>17</v>
      </c>
      <c r="E221" t="s">
        <v>18</v>
      </c>
      <c r="F221" t="s">
        <v>62</v>
      </c>
      <c r="G221" t="s">
        <v>63</v>
      </c>
      <c r="H221" t="s">
        <v>45</v>
      </c>
      <c r="I221">
        <v>1</v>
      </c>
      <c r="J221">
        <v>8.8699999999999992</v>
      </c>
      <c r="K221">
        <v>2.1</v>
      </c>
      <c r="L221">
        <v>1.74</v>
      </c>
      <c r="M221">
        <v>1606.25</v>
      </c>
      <c r="N221">
        <v>69.599999999999994</v>
      </c>
      <c r="O221">
        <f>SUM($M221:N221)</f>
        <v>1675.85</v>
      </c>
    </row>
    <row r="222" spans="1:15">
      <c r="A222" t="s">
        <v>276</v>
      </c>
      <c r="B222" s="2">
        <v>45919</v>
      </c>
      <c r="C222" t="s">
        <v>79</v>
      </c>
      <c r="D222" t="s">
        <v>44</v>
      </c>
      <c r="E222" t="s">
        <v>68</v>
      </c>
      <c r="F222" t="s">
        <v>30</v>
      </c>
      <c r="G222" t="s">
        <v>20</v>
      </c>
      <c r="H222" t="s">
        <v>21</v>
      </c>
      <c r="I222">
        <v>1</v>
      </c>
      <c r="J222">
        <v>2.8</v>
      </c>
      <c r="K222">
        <v>1.25</v>
      </c>
      <c r="L222">
        <v>1.59</v>
      </c>
      <c r="M222">
        <v>1012.54</v>
      </c>
      <c r="N222">
        <v>55.65</v>
      </c>
      <c r="O222">
        <f>SUM($M222:N222)</f>
        <v>1068.19</v>
      </c>
    </row>
    <row r="223" spans="1:15">
      <c r="A223" t="s">
        <v>277</v>
      </c>
      <c r="B223" s="2">
        <v>45919</v>
      </c>
      <c r="C223" t="s">
        <v>72</v>
      </c>
      <c r="D223" t="s">
        <v>44</v>
      </c>
      <c r="E223" t="s">
        <v>51</v>
      </c>
      <c r="F223" t="s">
        <v>30</v>
      </c>
      <c r="G223" t="s">
        <v>20</v>
      </c>
      <c r="H223" t="s">
        <v>69</v>
      </c>
      <c r="I223">
        <v>1</v>
      </c>
      <c r="J223">
        <v>4.04</v>
      </c>
      <c r="K223">
        <v>4.6500000000000004</v>
      </c>
      <c r="L223">
        <v>6.27</v>
      </c>
      <c r="M223">
        <v>824.63</v>
      </c>
      <c r="N223">
        <v>219.45</v>
      </c>
      <c r="O223">
        <f>SUM($M223:N223)</f>
        <v>1044.08</v>
      </c>
    </row>
    <row r="224" spans="1:15">
      <c r="A224" t="s">
        <v>278</v>
      </c>
      <c r="B224" s="2">
        <v>45920</v>
      </c>
      <c r="C224" t="s">
        <v>36</v>
      </c>
      <c r="D224" t="s">
        <v>28</v>
      </c>
      <c r="E224" t="s">
        <v>37</v>
      </c>
      <c r="F224" t="s">
        <v>30</v>
      </c>
      <c r="G224" t="s">
        <v>20</v>
      </c>
      <c r="H224" t="s">
        <v>34</v>
      </c>
      <c r="I224">
        <v>0</v>
      </c>
      <c r="J224">
        <v>0.09</v>
      </c>
      <c r="K224">
        <v>0.98</v>
      </c>
      <c r="L224">
        <v>1.05</v>
      </c>
      <c r="M224">
        <v>188.92</v>
      </c>
      <c r="N224">
        <v>47.25</v>
      </c>
      <c r="O224">
        <f>SUM($M224:N224)</f>
        <v>236.17</v>
      </c>
    </row>
    <row r="225" spans="1:15">
      <c r="A225" t="s">
        <v>279</v>
      </c>
      <c r="B225" s="2">
        <v>45921</v>
      </c>
      <c r="C225" t="s">
        <v>61</v>
      </c>
      <c r="D225" t="s">
        <v>44</v>
      </c>
      <c r="E225" t="s">
        <v>51</v>
      </c>
      <c r="F225" t="s">
        <v>30</v>
      </c>
      <c r="G225" t="s">
        <v>20</v>
      </c>
      <c r="H225" t="s">
        <v>45</v>
      </c>
      <c r="I225">
        <v>1</v>
      </c>
      <c r="J225">
        <v>2.93</v>
      </c>
      <c r="K225">
        <v>4.6500000000000004</v>
      </c>
      <c r="L225">
        <v>4</v>
      </c>
      <c r="M225">
        <v>859.35</v>
      </c>
      <c r="N225">
        <v>200</v>
      </c>
      <c r="O225">
        <f>SUM($M225:N225)</f>
        <v>1059.3499999999999</v>
      </c>
    </row>
    <row r="226" spans="1:15">
      <c r="A226" t="s">
        <v>280</v>
      </c>
      <c r="B226" s="2">
        <v>45921</v>
      </c>
      <c r="C226" t="s">
        <v>79</v>
      </c>
      <c r="D226" t="s">
        <v>28</v>
      </c>
      <c r="E226" t="s">
        <v>42</v>
      </c>
      <c r="F226" t="s">
        <v>30</v>
      </c>
      <c r="G226" t="s">
        <v>20</v>
      </c>
      <c r="H226" t="s">
        <v>39</v>
      </c>
      <c r="I226">
        <v>0</v>
      </c>
      <c r="J226">
        <v>1.0900000000000001</v>
      </c>
      <c r="K226">
        <v>0.7</v>
      </c>
      <c r="L226">
        <v>0.82</v>
      </c>
      <c r="M226">
        <v>147.24</v>
      </c>
      <c r="N226">
        <v>32.799999999999997</v>
      </c>
      <c r="O226">
        <f>SUM($M226:N226)</f>
        <v>180.04000000000002</v>
      </c>
    </row>
    <row r="227" spans="1:15">
      <c r="A227" t="s">
        <v>281</v>
      </c>
      <c r="B227" s="2">
        <v>45926</v>
      </c>
      <c r="C227" t="s">
        <v>53</v>
      </c>
      <c r="D227" t="s">
        <v>28</v>
      </c>
      <c r="E227" t="s">
        <v>33</v>
      </c>
      <c r="F227" t="s">
        <v>38</v>
      </c>
      <c r="G227" t="s">
        <v>20</v>
      </c>
      <c r="H227" t="s">
        <v>55</v>
      </c>
      <c r="I227">
        <v>0</v>
      </c>
      <c r="J227">
        <v>1.1399999999999999</v>
      </c>
      <c r="K227">
        <v>1.1200000000000001</v>
      </c>
      <c r="L227">
        <v>1.1299999999999999</v>
      </c>
      <c r="M227">
        <v>209.56</v>
      </c>
      <c r="N227">
        <v>45.2</v>
      </c>
      <c r="O227">
        <f>SUM($M227:N227)</f>
        <v>254.76</v>
      </c>
    </row>
    <row r="228" spans="1:15">
      <c r="A228" t="s">
        <v>282</v>
      </c>
      <c r="B228" s="2">
        <v>45926</v>
      </c>
      <c r="C228" t="s">
        <v>16</v>
      </c>
      <c r="D228" t="s">
        <v>17</v>
      </c>
      <c r="E228" t="s">
        <v>68</v>
      </c>
      <c r="F228" t="s">
        <v>19</v>
      </c>
      <c r="G228" t="s">
        <v>20</v>
      </c>
      <c r="H228" t="s">
        <v>55</v>
      </c>
      <c r="I228">
        <v>1</v>
      </c>
      <c r="J228">
        <v>16.920000000000002</v>
      </c>
      <c r="K228">
        <v>13.73</v>
      </c>
      <c r="L228">
        <v>15.18</v>
      </c>
      <c r="M228">
        <v>1179.29</v>
      </c>
      <c r="N228">
        <v>683.1</v>
      </c>
      <c r="O228">
        <f>SUM($M228:N228)</f>
        <v>1862.3899999999999</v>
      </c>
    </row>
    <row r="229" spans="1:15">
      <c r="A229" t="s">
        <v>283</v>
      </c>
      <c r="B229" s="2">
        <v>45929</v>
      </c>
      <c r="C229" t="s">
        <v>61</v>
      </c>
      <c r="D229" t="s">
        <v>28</v>
      </c>
      <c r="E229" t="s">
        <v>42</v>
      </c>
      <c r="F229" t="s">
        <v>38</v>
      </c>
      <c r="G229" t="s">
        <v>20</v>
      </c>
      <c r="H229" t="s">
        <v>69</v>
      </c>
      <c r="I229">
        <v>0</v>
      </c>
      <c r="J229">
        <v>0.36</v>
      </c>
      <c r="K229">
        <v>2.21</v>
      </c>
      <c r="L229">
        <v>2.2599999999999998</v>
      </c>
      <c r="M229">
        <v>187.33</v>
      </c>
      <c r="N229">
        <v>90.4</v>
      </c>
      <c r="O229">
        <f>SUM($M229:N229)</f>
        <v>277.73</v>
      </c>
    </row>
    <row r="230" spans="1:15">
      <c r="A230" t="s">
        <v>284</v>
      </c>
      <c r="B230" s="2">
        <v>45929</v>
      </c>
      <c r="C230" t="s">
        <v>23</v>
      </c>
      <c r="D230" t="s">
        <v>17</v>
      </c>
      <c r="E230" t="s">
        <v>24</v>
      </c>
      <c r="F230" t="s">
        <v>19</v>
      </c>
      <c r="G230" t="s">
        <v>20</v>
      </c>
      <c r="H230" t="s">
        <v>21</v>
      </c>
      <c r="I230">
        <v>1</v>
      </c>
      <c r="J230">
        <v>5.25</v>
      </c>
      <c r="K230">
        <v>3.82</v>
      </c>
      <c r="L230">
        <v>5.13</v>
      </c>
      <c r="M230">
        <v>1923.42</v>
      </c>
      <c r="N230">
        <v>205.2</v>
      </c>
      <c r="O230">
        <f>SUM($M230:N230)</f>
        <v>2128.62</v>
      </c>
    </row>
    <row r="231" spans="1:15">
      <c r="A231" t="s">
        <v>285</v>
      </c>
      <c r="B231" s="2">
        <v>45934</v>
      </c>
      <c r="C231" t="s">
        <v>72</v>
      </c>
      <c r="D231" t="s">
        <v>44</v>
      </c>
      <c r="E231" t="s">
        <v>24</v>
      </c>
      <c r="F231" t="s">
        <v>30</v>
      </c>
      <c r="G231" t="s">
        <v>20</v>
      </c>
      <c r="H231" t="s">
        <v>45</v>
      </c>
      <c r="I231">
        <v>1</v>
      </c>
      <c r="J231">
        <v>1.97</v>
      </c>
      <c r="K231">
        <v>3.64</v>
      </c>
      <c r="L231">
        <v>3.84</v>
      </c>
      <c r="M231">
        <v>623.97</v>
      </c>
      <c r="N231">
        <v>134.4</v>
      </c>
      <c r="O231">
        <f>SUM($M231:N231)</f>
        <v>758.37</v>
      </c>
    </row>
    <row r="232" spans="1:15">
      <c r="A232" t="s">
        <v>286</v>
      </c>
      <c r="B232" s="2">
        <v>45934</v>
      </c>
      <c r="C232" t="s">
        <v>49</v>
      </c>
      <c r="D232" t="s">
        <v>28</v>
      </c>
      <c r="E232" t="s">
        <v>33</v>
      </c>
      <c r="F232" t="s">
        <v>30</v>
      </c>
      <c r="G232" t="s">
        <v>20</v>
      </c>
      <c r="H232" t="s">
        <v>21</v>
      </c>
      <c r="I232">
        <v>0</v>
      </c>
      <c r="J232">
        <v>0.38</v>
      </c>
      <c r="K232">
        <v>0.97</v>
      </c>
      <c r="L232">
        <v>0.89</v>
      </c>
      <c r="M232">
        <v>245.56</v>
      </c>
      <c r="N232">
        <v>35.6</v>
      </c>
      <c r="O232">
        <f>SUM($M232:N232)</f>
        <v>281.16000000000003</v>
      </c>
    </row>
    <row r="233" spans="1:15">
      <c r="A233" t="s">
        <v>287</v>
      </c>
      <c r="B233" s="2">
        <v>45934</v>
      </c>
      <c r="C233" t="s">
        <v>16</v>
      </c>
      <c r="D233" t="s">
        <v>44</v>
      </c>
      <c r="E233" t="s">
        <v>54</v>
      </c>
      <c r="F233" t="s">
        <v>62</v>
      </c>
      <c r="G233" t="s">
        <v>20</v>
      </c>
      <c r="H233" t="s">
        <v>34</v>
      </c>
      <c r="I233">
        <v>1</v>
      </c>
      <c r="J233">
        <v>1.2</v>
      </c>
      <c r="K233">
        <v>2.35</v>
      </c>
      <c r="L233">
        <v>2.2999999999999998</v>
      </c>
      <c r="M233">
        <v>483.13</v>
      </c>
      <c r="N233">
        <v>80.5</v>
      </c>
      <c r="O233">
        <f>SUM($M233:N233)</f>
        <v>563.63</v>
      </c>
    </row>
    <row r="234" spans="1:15">
      <c r="A234" t="s">
        <v>288</v>
      </c>
      <c r="B234" s="2">
        <v>45935</v>
      </c>
      <c r="C234" t="s">
        <v>27</v>
      </c>
      <c r="D234" t="s">
        <v>44</v>
      </c>
      <c r="E234" t="s">
        <v>54</v>
      </c>
      <c r="F234" t="s">
        <v>30</v>
      </c>
      <c r="G234" t="s">
        <v>20</v>
      </c>
      <c r="H234" t="s">
        <v>25</v>
      </c>
      <c r="I234">
        <v>1</v>
      </c>
      <c r="J234">
        <v>1.37</v>
      </c>
      <c r="K234">
        <v>3.61</v>
      </c>
      <c r="L234">
        <v>3.59</v>
      </c>
      <c r="M234">
        <v>564.37</v>
      </c>
      <c r="N234">
        <v>143.6</v>
      </c>
      <c r="O234">
        <f>SUM($M234:N234)</f>
        <v>707.97</v>
      </c>
    </row>
    <row r="235" spans="1:15">
      <c r="A235" t="s">
        <v>289</v>
      </c>
      <c r="B235" s="2">
        <v>45935</v>
      </c>
      <c r="C235" t="s">
        <v>32</v>
      </c>
      <c r="D235" t="s">
        <v>28</v>
      </c>
      <c r="E235" t="s">
        <v>42</v>
      </c>
      <c r="F235" t="s">
        <v>38</v>
      </c>
      <c r="G235" t="s">
        <v>20</v>
      </c>
      <c r="H235" t="s">
        <v>39</v>
      </c>
      <c r="I235">
        <v>0</v>
      </c>
      <c r="J235">
        <v>0.7</v>
      </c>
      <c r="K235">
        <v>1.5</v>
      </c>
      <c r="L235">
        <v>1.38</v>
      </c>
      <c r="M235">
        <v>108.79</v>
      </c>
      <c r="N235">
        <v>69</v>
      </c>
      <c r="O235">
        <f>SUM($M235:N235)</f>
        <v>177.79000000000002</v>
      </c>
    </row>
    <row r="236" spans="1:15">
      <c r="A236" t="s">
        <v>290</v>
      </c>
      <c r="B236" s="2">
        <v>45936</v>
      </c>
      <c r="C236" t="s">
        <v>27</v>
      </c>
      <c r="D236" t="s">
        <v>17</v>
      </c>
      <c r="E236" t="s">
        <v>24</v>
      </c>
      <c r="F236" t="s">
        <v>62</v>
      </c>
      <c r="G236" t="s">
        <v>20</v>
      </c>
      <c r="H236" t="s">
        <v>39</v>
      </c>
      <c r="I236">
        <v>1</v>
      </c>
      <c r="J236">
        <v>7.85</v>
      </c>
      <c r="K236">
        <v>2.16</v>
      </c>
      <c r="L236">
        <v>2.2599999999999998</v>
      </c>
      <c r="M236">
        <v>1805.33</v>
      </c>
      <c r="N236">
        <v>79.099999999999994</v>
      </c>
      <c r="O236">
        <f>SUM($M236:N236)</f>
        <v>1884.4299999999998</v>
      </c>
    </row>
    <row r="237" spans="1:15">
      <c r="A237" t="s">
        <v>291</v>
      </c>
      <c r="B237" s="2">
        <v>45937</v>
      </c>
      <c r="C237" t="s">
        <v>79</v>
      </c>
      <c r="D237" t="s">
        <v>44</v>
      </c>
      <c r="E237" t="s">
        <v>47</v>
      </c>
      <c r="F237" t="s">
        <v>62</v>
      </c>
      <c r="G237" t="s">
        <v>20</v>
      </c>
      <c r="H237" t="s">
        <v>45</v>
      </c>
      <c r="I237">
        <v>1</v>
      </c>
      <c r="J237">
        <v>3.61</v>
      </c>
      <c r="K237">
        <v>4.1100000000000003</v>
      </c>
      <c r="L237">
        <v>5</v>
      </c>
      <c r="M237">
        <v>954.81</v>
      </c>
      <c r="N237">
        <v>200</v>
      </c>
      <c r="O237">
        <f>SUM($M237:N237)</f>
        <v>1154.81</v>
      </c>
    </row>
    <row r="238" spans="1:15">
      <c r="A238" t="s">
        <v>292</v>
      </c>
      <c r="B238" s="2">
        <v>45938</v>
      </c>
      <c r="C238" t="s">
        <v>32</v>
      </c>
      <c r="D238" t="s">
        <v>28</v>
      </c>
      <c r="E238" t="s">
        <v>42</v>
      </c>
      <c r="F238" t="s">
        <v>38</v>
      </c>
      <c r="G238" t="s">
        <v>20</v>
      </c>
      <c r="H238" t="s">
        <v>45</v>
      </c>
      <c r="I238">
        <v>0</v>
      </c>
      <c r="J238">
        <v>0</v>
      </c>
      <c r="K238">
        <v>0.86</v>
      </c>
      <c r="L238">
        <v>0.8</v>
      </c>
      <c r="M238">
        <v>210.38</v>
      </c>
      <c r="N238">
        <v>36</v>
      </c>
      <c r="O238">
        <f>SUM($M238:N238)</f>
        <v>246.38</v>
      </c>
    </row>
    <row r="239" spans="1:15">
      <c r="A239" t="s">
        <v>293</v>
      </c>
      <c r="B239" s="2">
        <v>45939</v>
      </c>
      <c r="C239" t="s">
        <v>41</v>
      </c>
      <c r="D239" t="s">
        <v>17</v>
      </c>
      <c r="E239" t="s">
        <v>68</v>
      </c>
      <c r="F239" t="s">
        <v>62</v>
      </c>
      <c r="G239" t="s">
        <v>20</v>
      </c>
      <c r="H239" t="s">
        <v>34</v>
      </c>
      <c r="I239">
        <v>1</v>
      </c>
      <c r="J239">
        <v>6.79</v>
      </c>
      <c r="K239">
        <v>15.02</v>
      </c>
      <c r="L239">
        <v>16.87</v>
      </c>
      <c r="M239">
        <v>1447.59</v>
      </c>
      <c r="N239">
        <v>590.45000000000005</v>
      </c>
      <c r="O239">
        <f>SUM($M239:N239)</f>
        <v>2038.04</v>
      </c>
    </row>
    <row r="240" spans="1:15">
      <c r="A240" t="s">
        <v>294</v>
      </c>
      <c r="B240" s="2">
        <v>45940</v>
      </c>
      <c r="C240" t="s">
        <v>65</v>
      </c>
      <c r="D240" t="s">
        <v>17</v>
      </c>
      <c r="E240" t="s">
        <v>51</v>
      </c>
      <c r="F240" t="s">
        <v>19</v>
      </c>
      <c r="G240" t="s">
        <v>20</v>
      </c>
      <c r="H240" t="s">
        <v>25</v>
      </c>
      <c r="I240">
        <v>1</v>
      </c>
      <c r="J240">
        <v>10.51</v>
      </c>
      <c r="K240">
        <v>6.54</v>
      </c>
      <c r="L240">
        <v>5.69</v>
      </c>
      <c r="M240">
        <v>20</v>
      </c>
      <c r="N240">
        <v>227.6</v>
      </c>
      <c r="O240">
        <f>SUM($M240:N240)</f>
        <v>247.6</v>
      </c>
    </row>
    <row r="241" spans="1:15">
      <c r="A241" t="s">
        <v>295</v>
      </c>
      <c r="B241" s="2">
        <v>45942</v>
      </c>
      <c r="C241" t="s">
        <v>72</v>
      </c>
      <c r="D241" t="s">
        <v>28</v>
      </c>
      <c r="E241" t="s">
        <v>29</v>
      </c>
      <c r="F241" t="s">
        <v>38</v>
      </c>
      <c r="G241" t="s">
        <v>20</v>
      </c>
      <c r="H241" t="s">
        <v>55</v>
      </c>
      <c r="I241">
        <v>0</v>
      </c>
      <c r="J241">
        <v>0.39</v>
      </c>
      <c r="K241">
        <v>0.97</v>
      </c>
      <c r="L241">
        <v>0.86</v>
      </c>
      <c r="M241">
        <v>76.97</v>
      </c>
      <c r="N241">
        <v>34.4</v>
      </c>
      <c r="O241">
        <f>SUM($M241:N241)</f>
        <v>111.37</v>
      </c>
    </row>
    <row r="242" spans="1:15">
      <c r="A242" t="s">
        <v>296</v>
      </c>
      <c r="B242" s="2">
        <v>45942</v>
      </c>
      <c r="C242" t="s">
        <v>16</v>
      </c>
      <c r="D242" t="s">
        <v>44</v>
      </c>
      <c r="E242" t="s">
        <v>54</v>
      </c>
      <c r="F242" t="s">
        <v>62</v>
      </c>
      <c r="G242" t="s">
        <v>20</v>
      </c>
      <c r="H242" t="s">
        <v>45</v>
      </c>
      <c r="I242">
        <v>1</v>
      </c>
      <c r="J242">
        <v>7.54</v>
      </c>
      <c r="K242">
        <v>6.08</v>
      </c>
      <c r="L242">
        <v>5.47</v>
      </c>
      <c r="M242">
        <v>703.88</v>
      </c>
      <c r="N242">
        <v>246.15</v>
      </c>
      <c r="O242">
        <f>SUM($M242:N242)</f>
        <v>950.03</v>
      </c>
    </row>
    <row r="243" spans="1:15">
      <c r="A243" t="s">
        <v>297</v>
      </c>
      <c r="B243" s="2">
        <v>45942</v>
      </c>
      <c r="C243" t="s">
        <v>23</v>
      </c>
      <c r="D243" t="s">
        <v>28</v>
      </c>
      <c r="E243" t="s">
        <v>42</v>
      </c>
      <c r="F243" t="s">
        <v>30</v>
      </c>
      <c r="G243" t="s">
        <v>20</v>
      </c>
      <c r="H243" t="s">
        <v>39</v>
      </c>
      <c r="I243">
        <v>0</v>
      </c>
      <c r="J243">
        <v>0.56000000000000005</v>
      </c>
      <c r="K243">
        <v>0.67</v>
      </c>
      <c r="L243">
        <v>0.73</v>
      </c>
      <c r="M243">
        <v>184.74</v>
      </c>
      <c r="N243">
        <v>25.55</v>
      </c>
      <c r="O243">
        <f>SUM($M243:N243)</f>
        <v>210.29000000000002</v>
      </c>
    </row>
    <row r="244" spans="1:15">
      <c r="A244" t="s">
        <v>298</v>
      </c>
      <c r="B244" s="2">
        <v>45942</v>
      </c>
      <c r="C244" t="s">
        <v>72</v>
      </c>
      <c r="D244" t="s">
        <v>28</v>
      </c>
      <c r="E244" t="s">
        <v>33</v>
      </c>
      <c r="F244" t="s">
        <v>38</v>
      </c>
      <c r="G244" t="s">
        <v>20</v>
      </c>
      <c r="H244" t="s">
        <v>25</v>
      </c>
      <c r="I244">
        <v>0</v>
      </c>
      <c r="J244">
        <v>0.32</v>
      </c>
      <c r="K244">
        <v>1.0900000000000001</v>
      </c>
      <c r="L244">
        <v>1.1499999999999999</v>
      </c>
      <c r="M244">
        <v>181.03</v>
      </c>
      <c r="N244">
        <v>51.75</v>
      </c>
      <c r="O244">
        <f>SUM($M244:N244)</f>
        <v>232.78</v>
      </c>
    </row>
    <row r="245" spans="1:15">
      <c r="A245" t="s">
        <v>299</v>
      </c>
      <c r="B245" s="2">
        <v>45943</v>
      </c>
      <c r="C245" t="s">
        <v>61</v>
      </c>
      <c r="D245" t="s">
        <v>28</v>
      </c>
      <c r="E245" t="s">
        <v>42</v>
      </c>
      <c r="F245" t="s">
        <v>38</v>
      </c>
      <c r="G245" t="s">
        <v>20</v>
      </c>
      <c r="H245" t="s">
        <v>45</v>
      </c>
      <c r="I245">
        <v>0</v>
      </c>
      <c r="J245">
        <v>0.69</v>
      </c>
      <c r="K245">
        <v>0.6</v>
      </c>
      <c r="L245">
        <v>0.55000000000000004</v>
      </c>
      <c r="M245">
        <v>132.59</v>
      </c>
      <c r="N245">
        <v>22</v>
      </c>
      <c r="O245">
        <f>SUM($M245:N245)</f>
        <v>154.59</v>
      </c>
    </row>
    <row r="246" spans="1:15">
      <c r="A246" t="s">
        <v>300</v>
      </c>
      <c r="B246" s="2">
        <v>45943</v>
      </c>
      <c r="C246" t="s">
        <v>72</v>
      </c>
      <c r="D246" t="s">
        <v>28</v>
      </c>
      <c r="E246" t="s">
        <v>29</v>
      </c>
      <c r="F246" t="s">
        <v>30</v>
      </c>
      <c r="G246" t="s">
        <v>20</v>
      </c>
      <c r="H246" t="s">
        <v>55</v>
      </c>
      <c r="I246">
        <v>0</v>
      </c>
      <c r="J246">
        <v>0.45</v>
      </c>
      <c r="K246">
        <v>1.42</v>
      </c>
      <c r="L246">
        <v>1.48</v>
      </c>
      <c r="M246">
        <v>114.82</v>
      </c>
      <c r="N246">
        <v>59.2</v>
      </c>
      <c r="O246">
        <f>SUM($M246:N246)</f>
        <v>174.01999999999998</v>
      </c>
    </row>
    <row r="247" spans="1:15">
      <c r="A247" t="s">
        <v>301</v>
      </c>
      <c r="B247" s="2">
        <v>45944</v>
      </c>
      <c r="C247" t="s">
        <v>41</v>
      </c>
      <c r="D247" t="s">
        <v>44</v>
      </c>
      <c r="E247" t="s">
        <v>68</v>
      </c>
      <c r="F247" t="s">
        <v>30</v>
      </c>
      <c r="G247" t="s">
        <v>20</v>
      </c>
      <c r="H247" t="s">
        <v>21</v>
      </c>
      <c r="I247">
        <v>1</v>
      </c>
      <c r="J247">
        <v>7.48</v>
      </c>
      <c r="K247">
        <v>6.14</v>
      </c>
      <c r="L247">
        <v>7.1</v>
      </c>
      <c r="M247">
        <v>975.08</v>
      </c>
      <c r="N247">
        <v>355</v>
      </c>
      <c r="O247">
        <f>SUM($M247:N247)</f>
        <v>1330.08</v>
      </c>
    </row>
    <row r="248" spans="1:15">
      <c r="A248" t="s">
        <v>302</v>
      </c>
      <c r="B248" s="2">
        <v>45944</v>
      </c>
      <c r="C248" t="s">
        <v>61</v>
      </c>
      <c r="D248" t="s">
        <v>28</v>
      </c>
      <c r="E248" t="s">
        <v>29</v>
      </c>
      <c r="F248" t="s">
        <v>38</v>
      </c>
      <c r="G248" t="s">
        <v>20</v>
      </c>
      <c r="H248" t="s">
        <v>55</v>
      </c>
      <c r="I248">
        <v>0</v>
      </c>
      <c r="J248">
        <v>0.35</v>
      </c>
      <c r="K248">
        <v>0.95</v>
      </c>
      <c r="L248">
        <v>0.81</v>
      </c>
      <c r="M248">
        <v>161.69</v>
      </c>
      <c r="N248">
        <v>32.4</v>
      </c>
      <c r="O248">
        <f>SUM($M248:N248)</f>
        <v>194.09</v>
      </c>
    </row>
    <row r="249" spans="1:15">
      <c r="A249" t="s">
        <v>303</v>
      </c>
      <c r="B249" s="2">
        <v>45945</v>
      </c>
      <c r="C249" t="s">
        <v>49</v>
      </c>
      <c r="D249" t="s">
        <v>44</v>
      </c>
      <c r="E249" t="s">
        <v>86</v>
      </c>
      <c r="F249" t="s">
        <v>62</v>
      </c>
      <c r="G249" t="s">
        <v>20</v>
      </c>
      <c r="H249" t="s">
        <v>34</v>
      </c>
      <c r="I249">
        <v>1</v>
      </c>
      <c r="J249">
        <v>2.91</v>
      </c>
      <c r="K249">
        <v>2.35</v>
      </c>
      <c r="L249">
        <v>2.0299999999999998</v>
      </c>
      <c r="M249">
        <v>1134.32</v>
      </c>
      <c r="N249">
        <v>91.35</v>
      </c>
      <c r="O249">
        <f>SUM($M249:N249)</f>
        <v>1225.6699999999998</v>
      </c>
    </row>
    <row r="250" spans="1:15">
      <c r="A250" t="s">
        <v>304</v>
      </c>
      <c r="B250" s="2">
        <v>45945</v>
      </c>
      <c r="C250" t="s">
        <v>61</v>
      </c>
      <c r="D250" t="s">
        <v>28</v>
      </c>
      <c r="E250" t="s">
        <v>29</v>
      </c>
      <c r="F250" t="s">
        <v>30</v>
      </c>
      <c r="G250" t="s">
        <v>20</v>
      </c>
      <c r="H250" t="s">
        <v>39</v>
      </c>
      <c r="I250">
        <v>0</v>
      </c>
      <c r="J250">
        <v>0.56000000000000005</v>
      </c>
      <c r="K250">
        <v>0.45</v>
      </c>
      <c r="L250">
        <v>0.5</v>
      </c>
      <c r="M250">
        <v>334.46</v>
      </c>
      <c r="N250">
        <v>22.5</v>
      </c>
      <c r="O250">
        <f>SUM($M250:N250)</f>
        <v>356.96</v>
      </c>
    </row>
    <row r="251" spans="1:15">
      <c r="A251" t="s">
        <v>305</v>
      </c>
      <c r="B251" s="2">
        <v>45945</v>
      </c>
      <c r="C251" t="s">
        <v>27</v>
      </c>
      <c r="D251" t="s">
        <v>28</v>
      </c>
      <c r="E251" t="s">
        <v>33</v>
      </c>
      <c r="F251" t="s">
        <v>38</v>
      </c>
      <c r="G251" t="s">
        <v>20</v>
      </c>
      <c r="H251" t="s">
        <v>55</v>
      </c>
      <c r="I251">
        <v>0</v>
      </c>
      <c r="J251">
        <v>0.56999999999999995</v>
      </c>
      <c r="K251">
        <v>1.96</v>
      </c>
      <c r="L251">
        <v>2.13</v>
      </c>
      <c r="M251">
        <v>213.36</v>
      </c>
      <c r="N251">
        <v>85.2</v>
      </c>
      <c r="O251">
        <f>SUM($M251:N251)</f>
        <v>298.56</v>
      </c>
    </row>
    <row r="252" spans="1:15">
      <c r="A252" t="s">
        <v>306</v>
      </c>
      <c r="B252" s="2">
        <v>45947</v>
      </c>
      <c r="C252" t="s">
        <v>53</v>
      </c>
      <c r="D252" t="s">
        <v>17</v>
      </c>
      <c r="E252" t="s">
        <v>54</v>
      </c>
      <c r="F252" t="s">
        <v>19</v>
      </c>
      <c r="G252" t="s">
        <v>20</v>
      </c>
      <c r="H252" t="s">
        <v>45</v>
      </c>
      <c r="I252">
        <v>1</v>
      </c>
      <c r="J252">
        <v>4.9800000000000004</v>
      </c>
      <c r="K252">
        <v>3.65</v>
      </c>
      <c r="L252">
        <v>4.75</v>
      </c>
      <c r="M252">
        <v>1684.27</v>
      </c>
      <c r="N252">
        <v>237.5</v>
      </c>
      <c r="O252">
        <f>SUM($M252:N252)</f>
        <v>1921.77</v>
      </c>
    </row>
    <row r="253" spans="1:15">
      <c r="A253" t="s">
        <v>307</v>
      </c>
      <c r="B253" s="2">
        <v>45948</v>
      </c>
      <c r="C253" t="s">
        <v>23</v>
      </c>
      <c r="D253" t="s">
        <v>17</v>
      </c>
      <c r="E253" t="s">
        <v>54</v>
      </c>
      <c r="F253" t="s">
        <v>62</v>
      </c>
      <c r="G253" t="s">
        <v>57</v>
      </c>
      <c r="H253" t="s">
        <v>45</v>
      </c>
      <c r="I253">
        <v>1</v>
      </c>
      <c r="J253">
        <v>8.06</v>
      </c>
      <c r="K253">
        <v>5.44</v>
      </c>
      <c r="L253">
        <v>4.72</v>
      </c>
      <c r="M253">
        <v>1556.24</v>
      </c>
      <c r="N253">
        <v>188.8</v>
      </c>
      <c r="O253">
        <f>SUM($M253:N253)</f>
        <v>1745.04</v>
      </c>
    </row>
    <row r="254" spans="1:15">
      <c r="A254" t="s">
        <v>308</v>
      </c>
      <c r="B254" s="2">
        <v>45948</v>
      </c>
      <c r="C254" t="s">
        <v>16</v>
      </c>
      <c r="D254" t="s">
        <v>17</v>
      </c>
      <c r="E254" t="s">
        <v>54</v>
      </c>
      <c r="F254" t="s">
        <v>62</v>
      </c>
      <c r="G254" t="s">
        <v>20</v>
      </c>
      <c r="H254" t="s">
        <v>25</v>
      </c>
      <c r="I254">
        <v>1</v>
      </c>
      <c r="J254">
        <v>6.3</v>
      </c>
      <c r="K254">
        <v>7.26</v>
      </c>
      <c r="L254">
        <v>7.52</v>
      </c>
      <c r="M254">
        <v>1067.71</v>
      </c>
      <c r="N254">
        <v>300.8</v>
      </c>
      <c r="O254">
        <f>SUM($M254:N254)</f>
        <v>1368.51</v>
      </c>
    </row>
    <row r="255" spans="1:15">
      <c r="A255" t="s">
        <v>309</v>
      </c>
      <c r="B255" s="2">
        <v>45948</v>
      </c>
      <c r="C255" t="s">
        <v>16</v>
      </c>
      <c r="D255" t="s">
        <v>28</v>
      </c>
      <c r="E255" t="s">
        <v>33</v>
      </c>
      <c r="F255" t="s">
        <v>30</v>
      </c>
      <c r="G255" t="s">
        <v>20</v>
      </c>
      <c r="H255" t="s">
        <v>55</v>
      </c>
      <c r="I255">
        <v>0</v>
      </c>
      <c r="J255">
        <v>0.85</v>
      </c>
      <c r="K255">
        <v>1.65</v>
      </c>
      <c r="L255">
        <v>1.65</v>
      </c>
      <c r="M255">
        <v>220.73</v>
      </c>
      <c r="N255">
        <v>74.25</v>
      </c>
      <c r="O255">
        <f>SUM($M255:N255)</f>
        <v>294.98</v>
      </c>
    </row>
    <row r="256" spans="1:15">
      <c r="A256" t="s">
        <v>310</v>
      </c>
      <c r="B256" s="2">
        <v>45951</v>
      </c>
      <c r="C256" t="s">
        <v>49</v>
      </c>
      <c r="D256" t="s">
        <v>28</v>
      </c>
      <c r="E256" t="s">
        <v>42</v>
      </c>
      <c r="F256" t="s">
        <v>38</v>
      </c>
      <c r="G256" t="s">
        <v>20</v>
      </c>
      <c r="H256" t="s">
        <v>58</v>
      </c>
      <c r="I256">
        <v>0</v>
      </c>
      <c r="J256">
        <v>0.44</v>
      </c>
      <c r="K256">
        <v>0.27</v>
      </c>
      <c r="L256">
        <v>0.5</v>
      </c>
      <c r="M256">
        <v>178.03</v>
      </c>
      <c r="N256">
        <v>25</v>
      </c>
      <c r="O256">
        <f>SUM($M256:N256)</f>
        <v>203.03</v>
      </c>
    </row>
    <row r="257" spans="1:15">
      <c r="A257" t="s">
        <v>311</v>
      </c>
      <c r="B257" s="2">
        <v>45951</v>
      </c>
      <c r="C257" t="s">
        <v>72</v>
      </c>
      <c r="D257" t="s">
        <v>44</v>
      </c>
      <c r="E257" t="s">
        <v>24</v>
      </c>
      <c r="F257" t="s">
        <v>62</v>
      </c>
      <c r="G257" t="s">
        <v>20</v>
      </c>
      <c r="H257" t="s">
        <v>34</v>
      </c>
      <c r="I257">
        <v>1</v>
      </c>
      <c r="J257">
        <v>2.04</v>
      </c>
      <c r="K257">
        <v>1.1000000000000001</v>
      </c>
      <c r="L257">
        <v>1.36</v>
      </c>
      <c r="M257">
        <v>1084.3499999999999</v>
      </c>
      <c r="N257">
        <v>68</v>
      </c>
      <c r="O257">
        <f>SUM($M257:N257)</f>
        <v>1152.3499999999999</v>
      </c>
    </row>
    <row r="258" spans="1:15">
      <c r="A258" t="s">
        <v>312</v>
      </c>
      <c r="B258" s="2">
        <v>45952</v>
      </c>
      <c r="C258" t="s">
        <v>72</v>
      </c>
      <c r="D258" t="s">
        <v>28</v>
      </c>
      <c r="E258" t="s">
        <v>29</v>
      </c>
      <c r="F258" t="s">
        <v>38</v>
      </c>
      <c r="G258" t="s">
        <v>20</v>
      </c>
      <c r="H258" t="s">
        <v>55</v>
      </c>
      <c r="I258">
        <v>0</v>
      </c>
      <c r="J258">
        <v>1.27</v>
      </c>
      <c r="K258">
        <v>1.72</v>
      </c>
      <c r="L258">
        <v>1.65</v>
      </c>
      <c r="M258">
        <v>255.66</v>
      </c>
      <c r="N258">
        <v>74.25</v>
      </c>
      <c r="O258">
        <f>SUM($M258:N258)</f>
        <v>329.90999999999997</v>
      </c>
    </row>
    <row r="259" spans="1:15">
      <c r="A259" t="s">
        <v>313</v>
      </c>
      <c r="B259" s="2">
        <v>45953</v>
      </c>
      <c r="C259" t="s">
        <v>36</v>
      </c>
      <c r="D259" t="s">
        <v>17</v>
      </c>
      <c r="E259" t="s">
        <v>86</v>
      </c>
      <c r="F259" t="s">
        <v>62</v>
      </c>
      <c r="G259" t="s">
        <v>63</v>
      </c>
      <c r="H259" t="s">
        <v>69</v>
      </c>
      <c r="I259">
        <v>1</v>
      </c>
      <c r="J259">
        <v>8.8800000000000008</v>
      </c>
      <c r="K259">
        <v>2.73</v>
      </c>
      <c r="L259">
        <v>3.62</v>
      </c>
      <c r="M259">
        <v>1447.77</v>
      </c>
      <c r="N259">
        <v>162.9</v>
      </c>
      <c r="O259">
        <f>SUM($M259:N259)</f>
        <v>1610.67</v>
      </c>
    </row>
    <row r="260" spans="1:15">
      <c r="A260" t="s">
        <v>314</v>
      </c>
      <c r="B260" s="2">
        <v>45955</v>
      </c>
      <c r="C260" t="s">
        <v>41</v>
      </c>
      <c r="D260" t="s">
        <v>44</v>
      </c>
      <c r="E260" t="s">
        <v>47</v>
      </c>
      <c r="F260" t="s">
        <v>30</v>
      </c>
      <c r="G260" t="s">
        <v>20</v>
      </c>
      <c r="H260" t="s">
        <v>55</v>
      </c>
      <c r="I260">
        <v>1</v>
      </c>
      <c r="J260">
        <v>2.91</v>
      </c>
      <c r="K260">
        <v>3.98</v>
      </c>
      <c r="L260">
        <v>4.84</v>
      </c>
      <c r="M260">
        <v>513.77</v>
      </c>
      <c r="N260">
        <v>242</v>
      </c>
      <c r="O260">
        <f>SUM($M260:N260)</f>
        <v>755.77</v>
      </c>
    </row>
    <row r="261" spans="1:15">
      <c r="A261" t="s">
        <v>315</v>
      </c>
      <c r="B261" s="2">
        <v>45957</v>
      </c>
      <c r="C261" t="s">
        <v>27</v>
      </c>
      <c r="D261" t="s">
        <v>17</v>
      </c>
      <c r="E261" t="s">
        <v>24</v>
      </c>
      <c r="F261" t="s">
        <v>62</v>
      </c>
      <c r="G261" t="s">
        <v>20</v>
      </c>
      <c r="H261" t="s">
        <v>45</v>
      </c>
      <c r="I261">
        <v>1</v>
      </c>
      <c r="J261">
        <v>3.06</v>
      </c>
      <c r="K261">
        <v>8.24</v>
      </c>
      <c r="L261">
        <v>8.48</v>
      </c>
      <c r="M261">
        <v>1650.07</v>
      </c>
      <c r="N261">
        <v>339.2</v>
      </c>
      <c r="O261">
        <f>SUM($M261:N261)</f>
        <v>1989.27</v>
      </c>
    </row>
    <row r="262" spans="1:15">
      <c r="A262" t="s">
        <v>316</v>
      </c>
      <c r="B262" s="2">
        <v>45958</v>
      </c>
      <c r="C262" t="s">
        <v>36</v>
      </c>
      <c r="D262" t="s">
        <v>44</v>
      </c>
      <c r="E262" t="s">
        <v>47</v>
      </c>
      <c r="F262" t="s">
        <v>30</v>
      </c>
      <c r="G262" t="s">
        <v>57</v>
      </c>
      <c r="H262" t="s">
        <v>55</v>
      </c>
      <c r="I262">
        <v>1</v>
      </c>
      <c r="J262">
        <v>4.41</v>
      </c>
      <c r="K262">
        <v>0.42</v>
      </c>
      <c r="L262">
        <v>0.5</v>
      </c>
      <c r="M262">
        <v>796.55</v>
      </c>
      <c r="N262">
        <v>25</v>
      </c>
      <c r="O262">
        <f>SUM($M262:N262)</f>
        <v>821.55</v>
      </c>
    </row>
    <row r="263" spans="1:15">
      <c r="A263" t="s">
        <v>317</v>
      </c>
      <c r="B263" s="2">
        <v>45960</v>
      </c>
      <c r="C263" t="s">
        <v>32</v>
      </c>
      <c r="D263" t="s">
        <v>28</v>
      </c>
      <c r="E263" t="s">
        <v>37</v>
      </c>
      <c r="F263" t="s">
        <v>38</v>
      </c>
      <c r="G263" t="s">
        <v>63</v>
      </c>
      <c r="H263" t="s">
        <v>69</v>
      </c>
      <c r="I263">
        <v>0</v>
      </c>
      <c r="J263">
        <v>0</v>
      </c>
      <c r="K263">
        <v>1.1499999999999999</v>
      </c>
      <c r="L263">
        <v>1.4</v>
      </c>
      <c r="M263">
        <v>197.18</v>
      </c>
      <c r="N263">
        <v>63</v>
      </c>
      <c r="O263">
        <f>SUM($M263:N263)</f>
        <v>260.18</v>
      </c>
    </row>
    <row r="264" spans="1:15">
      <c r="A264" t="s">
        <v>318</v>
      </c>
      <c r="B264" s="2">
        <v>45961</v>
      </c>
      <c r="C264" t="s">
        <v>53</v>
      </c>
      <c r="D264" t="s">
        <v>28</v>
      </c>
      <c r="E264" t="s">
        <v>33</v>
      </c>
      <c r="F264" t="s">
        <v>38</v>
      </c>
      <c r="G264" t="s">
        <v>20</v>
      </c>
      <c r="H264" t="s">
        <v>21</v>
      </c>
      <c r="I264">
        <v>0</v>
      </c>
      <c r="J264">
        <v>0.6</v>
      </c>
      <c r="K264">
        <v>0.83</v>
      </c>
      <c r="L264">
        <v>0.97</v>
      </c>
      <c r="M264">
        <v>291.32</v>
      </c>
      <c r="N264">
        <v>38.799999999999997</v>
      </c>
      <c r="O264">
        <f>SUM($M264:N264)</f>
        <v>330.12</v>
      </c>
    </row>
    <row r="265" spans="1:15">
      <c r="A265" t="s">
        <v>319</v>
      </c>
      <c r="B265" s="2">
        <v>45961</v>
      </c>
      <c r="C265" t="s">
        <v>23</v>
      </c>
      <c r="D265" t="s">
        <v>44</v>
      </c>
      <c r="E265" t="s">
        <v>18</v>
      </c>
      <c r="F265" t="s">
        <v>62</v>
      </c>
      <c r="G265" t="s">
        <v>20</v>
      </c>
      <c r="H265" t="s">
        <v>69</v>
      </c>
      <c r="I265">
        <v>1</v>
      </c>
      <c r="J265">
        <v>6.29</v>
      </c>
      <c r="K265">
        <v>1.07</v>
      </c>
      <c r="L265">
        <v>1.35</v>
      </c>
      <c r="M265">
        <v>744.37</v>
      </c>
      <c r="N265">
        <v>60.75</v>
      </c>
      <c r="O265">
        <f>SUM($M265:N265)</f>
        <v>805.12</v>
      </c>
    </row>
    <row r="266" spans="1:15">
      <c r="A266" t="s">
        <v>320</v>
      </c>
      <c r="B266" s="2">
        <v>45961</v>
      </c>
      <c r="C266" t="s">
        <v>61</v>
      </c>
      <c r="D266" t="s">
        <v>17</v>
      </c>
      <c r="E266" t="s">
        <v>86</v>
      </c>
      <c r="F266" t="s">
        <v>62</v>
      </c>
      <c r="G266" t="s">
        <v>63</v>
      </c>
      <c r="H266" t="s">
        <v>34</v>
      </c>
      <c r="I266">
        <v>1</v>
      </c>
      <c r="J266">
        <v>10.66</v>
      </c>
      <c r="K266">
        <v>13.38</v>
      </c>
      <c r="L266">
        <v>14.74</v>
      </c>
      <c r="M266">
        <v>1638.52</v>
      </c>
      <c r="N266">
        <v>663.3</v>
      </c>
      <c r="O266">
        <f>SUM($M266:N266)</f>
        <v>2301.8199999999997</v>
      </c>
    </row>
    <row r="267" spans="1:15">
      <c r="A267" t="s">
        <v>321</v>
      </c>
      <c r="B267" s="2">
        <v>45964</v>
      </c>
      <c r="C267" t="s">
        <v>41</v>
      </c>
      <c r="D267" t="s">
        <v>28</v>
      </c>
      <c r="E267" t="s">
        <v>29</v>
      </c>
      <c r="F267" t="s">
        <v>38</v>
      </c>
      <c r="G267" t="s">
        <v>20</v>
      </c>
      <c r="H267" t="s">
        <v>25</v>
      </c>
      <c r="I267">
        <v>0</v>
      </c>
      <c r="J267">
        <v>1.26</v>
      </c>
      <c r="K267">
        <v>2.08</v>
      </c>
      <c r="L267">
        <v>2.0499999999999998</v>
      </c>
      <c r="M267">
        <v>119.58</v>
      </c>
      <c r="N267">
        <v>71.75</v>
      </c>
      <c r="O267">
        <f>SUM($M267:N267)</f>
        <v>191.32999999999998</v>
      </c>
    </row>
    <row r="268" spans="1:15">
      <c r="A268" t="s">
        <v>322</v>
      </c>
      <c r="B268" s="2">
        <v>45965</v>
      </c>
      <c r="C268" t="s">
        <v>16</v>
      </c>
      <c r="D268" t="s">
        <v>17</v>
      </c>
      <c r="E268" t="s">
        <v>68</v>
      </c>
      <c r="F268" t="s">
        <v>62</v>
      </c>
      <c r="G268" t="s">
        <v>20</v>
      </c>
      <c r="H268" t="s">
        <v>21</v>
      </c>
      <c r="I268">
        <v>1</v>
      </c>
      <c r="J268">
        <v>6.87</v>
      </c>
      <c r="K268">
        <v>8.81</v>
      </c>
      <c r="L268">
        <v>9.42</v>
      </c>
      <c r="M268">
        <v>1448.19</v>
      </c>
      <c r="N268">
        <v>376.8</v>
      </c>
      <c r="O268">
        <f>SUM($M268:N268)</f>
        <v>1824.99</v>
      </c>
    </row>
    <row r="269" spans="1:15">
      <c r="A269" t="s">
        <v>323</v>
      </c>
      <c r="B269" s="2">
        <v>45968</v>
      </c>
      <c r="C269" t="s">
        <v>36</v>
      </c>
      <c r="D269" t="s">
        <v>28</v>
      </c>
      <c r="E269" t="s">
        <v>37</v>
      </c>
      <c r="F269" t="s">
        <v>30</v>
      </c>
      <c r="G269" t="s">
        <v>57</v>
      </c>
      <c r="H269" t="s">
        <v>25</v>
      </c>
      <c r="I269">
        <v>0</v>
      </c>
      <c r="J269">
        <v>0.3</v>
      </c>
      <c r="K269">
        <v>1.48</v>
      </c>
      <c r="L269">
        <v>1.69</v>
      </c>
      <c r="M269">
        <v>235.33</v>
      </c>
      <c r="N269">
        <v>67.599999999999994</v>
      </c>
      <c r="O269">
        <f>SUM($M269:N269)</f>
        <v>302.93</v>
      </c>
    </row>
    <row r="270" spans="1:15">
      <c r="A270" t="s">
        <v>324</v>
      </c>
      <c r="B270" s="2">
        <v>45969</v>
      </c>
      <c r="C270" t="s">
        <v>65</v>
      </c>
      <c r="D270" t="s">
        <v>28</v>
      </c>
      <c r="E270" t="s">
        <v>33</v>
      </c>
      <c r="F270" t="s">
        <v>30</v>
      </c>
      <c r="G270" t="s">
        <v>20</v>
      </c>
      <c r="H270" t="s">
        <v>39</v>
      </c>
      <c r="I270">
        <v>0</v>
      </c>
      <c r="J270">
        <v>7.0000000000000007E-2</v>
      </c>
      <c r="K270">
        <v>0.65</v>
      </c>
      <c r="L270">
        <v>0.85</v>
      </c>
      <c r="M270">
        <v>103.5</v>
      </c>
      <c r="N270">
        <v>38.25</v>
      </c>
      <c r="O270">
        <f>SUM($M270:N270)</f>
        <v>141.75</v>
      </c>
    </row>
    <row r="271" spans="1:15">
      <c r="A271" t="s">
        <v>325</v>
      </c>
      <c r="B271" s="2">
        <v>45970</v>
      </c>
      <c r="C271" t="s">
        <v>36</v>
      </c>
      <c r="D271" t="s">
        <v>28</v>
      </c>
      <c r="E271" t="s">
        <v>42</v>
      </c>
      <c r="F271" t="s">
        <v>38</v>
      </c>
      <c r="G271" t="s">
        <v>20</v>
      </c>
      <c r="H271" t="s">
        <v>34</v>
      </c>
      <c r="I271">
        <v>0</v>
      </c>
      <c r="J271">
        <v>0.46</v>
      </c>
      <c r="K271">
        <v>1.52</v>
      </c>
      <c r="L271">
        <v>1.65</v>
      </c>
      <c r="M271">
        <v>131.4</v>
      </c>
      <c r="N271">
        <v>74.25</v>
      </c>
      <c r="O271">
        <f>SUM($M271:N271)</f>
        <v>205.65</v>
      </c>
    </row>
    <row r="272" spans="1:15">
      <c r="A272" t="s">
        <v>326</v>
      </c>
      <c r="B272" s="2">
        <v>45970</v>
      </c>
      <c r="C272" t="s">
        <v>53</v>
      </c>
      <c r="D272" t="s">
        <v>17</v>
      </c>
      <c r="E272" t="s">
        <v>86</v>
      </c>
      <c r="F272" t="s">
        <v>62</v>
      </c>
      <c r="G272" t="s">
        <v>20</v>
      </c>
      <c r="H272" t="s">
        <v>39</v>
      </c>
      <c r="I272">
        <v>1</v>
      </c>
      <c r="J272">
        <v>2.59</v>
      </c>
      <c r="K272">
        <v>1.61</v>
      </c>
      <c r="L272">
        <v>1.95</v>
      </c>
      <c r="M272">
        <v>953.47</v>
      </c>
      <c r="N272">
        <v>78</v>
      </c>
      <c r="O272">
        <f>SUM($M272:N272)</f>
        <v>1031.47</v>
      </c>
    </row>
    <row r="273" spans="1:15">
      <c r="A273" t="s">
        <v>327</v>
      </c>
      <c r="B273" s="2">
        <v>45970</v>
      </c>
      <c r="C273" t="s">
        <v>27</v>
      </c>
      <c r="D273" t="s">
        <v>28</v>
      </c>
      <c r="E273" t="s">
        <v>29</v>
      </c>
      <c r="F273" t="s">
        <v>38</v>
      </c>
      <c r="G273" t="s">
        <v>20</v>
      </c>
      <c r="H273" t="s">
        <v>21</v>
      </c>
      <c r="I273">
        <v>0</v>
      </c>
      <c r="J273">
        <v>1.08</v>
      </c>
      <c r="K273">
        <v>0.78</v>
      </c>
      <c r="L273">
        <v>0.83</v>
      </c>
      <c r="M273">
        <v>158.37</v>
      </c>
      <c r="N273">
        <v>41.5</v>
      </c>
      <c r="O273">
        <f>SUM($M273:N273)</f>
        <v>199.87</v>
      </c>
    </row>
    <row r="274" spans="1:15">
      <c r="A274" t="s">
        <v>328</v>
      </c>
      <c r="B274" s="2">
        <v>45971</v>
      </c>
      <c r="C274" t="s">
        <v>41</v>
      </c>
      <c r="D274" t="s">
        <v>28</v>
      </c>
      <c r="E274" t="s">
        <v>37</v>
      </c>
      <c r="F274" t="s">
        <v>30</v>
      </c>
      <c r="G274" t="s">
        <v>20</v>
      </c>
      <c r="H274" t="s">
        <v>58</v>
      </c>
      <c r="I274">
        <v>0</v>
      </c>
      <c r="J274">
        <v>0.77</v>
      </c>
      <c r="K274">
        <v>1.02</v>
      </c>
      <c r="L274">
        <v>1.35</v>
      </c>
      <c r="M274">
        <v>183.95</v>
      </c>
      <c r="N274">
        <v>54</v>
      </c>
      <c r="O274">
        <f>SUM($M274:N274)</f>
        <v>237.95</v>
      </c>
    </row>
    <row r="275" spans="1:15">
      <c r="A275" t="s">
        <v>329</v>
      </c>
      <c r="B275" s="2">
        <v>45971</v>
      </c>
      <c r="C275" t="s">
        <v>53</v>
      </c>
      <c r="D275" t="s">
        <v>28</v>
      </c>
      <c r="E275" t="s">
        <v>37</v>
      </c>
      <c r="F275" t="s">
        <v>38</v>
      </c>
      <c r="G275" t="s">
        <v>20</v>
      </c>
      <c r="H275" t="s">
        <v>34</v>
      </c>
      <c r="I275">
        <v>0</v>
      </c>
      <c r="J275">
        <v>1.1299999999999999</v>
      </c>
      <c r="K275">
        <v>0.69</v>
      </c>
      <c r="L275">
        <v>0.88</v>
      </c>
      <c r="M275">
        <v>77.37</v>
      </c>
      <c r="N275">
        <v>44</v>
      </c>
      <c r="O275">
        <f>SUM($M275:N275)</f>
        <v>121.37</v>
      </c>
    </row>
    <row r="276" spans="1:15">
      <c r="A276" t="s">
        <v>330</v>
      </c>
      <c r="B276" s="2">
        <v>45982</v>
      </c>
      <c r="C276" t="s">
        <v>27</v>
      </c>
      <c r="D276" t="s">
        <v>28</v>
      </c>
      <c r="E276" t="s">
        <v>33</v>
      </c>
      <c r="F276" t="s">
        <v>38</v>
      </c>
      <c r="G276" t="s">
        <v>20</v>
      </c>
      <c r="H276" t="s">
        <v>58</v>
      </c>
      <c r="I276">
        <v>0</v>
      </c>
      <c r="J276">
        <v>0.71</v>
      </c>
      <c r="K276">
        <v>1.34</v>
      </c>
      <c r="L276">
        <v>1.08</v>
      </c>
      <c r="M276">
        <v>119.01</v>
      </c>
      <c r="N276">
        <v>54</v>
      </c>
      <c r="O276">
        <f>SUM($M276:N276)</f>
        <v>173.01</v>
      </c>
    </row>
    <row r="277" spans="1:15">
      <c r="A277" t="s">
        <v>331</v>
      </c>
      <c r="B277" s="2">
        <v>45983</v>
      </c>
      <c r="C277" t="s">
        <v>65</v>
      </c>
      <c r="D277" t="s">
        <v>44</v>
      </c>
      <c r="E277" t="s">
        <v>51</v>
      </c>
      <c r="F277" t="s">
        <v>30</v>
      </c>
      <c r="G277" t="s">
        <v>20</v>
      </c>
      <c r="H277" t="s">
        <v>58</v>
      </c>
      <c r="I277">
        <v>1</v>
      </c>
      <c r="J277">
        <v>2.81</v>
      </c>
      <c r="K277">
        <v>1.59</v>
      </c>
      <c r="L277">
        <v>1.34</v>
      </c>
      <c r="M277">
        <v>590.66</v>
      </c>
      <c r="N277">
        <v>60.3</v>
      </c>
      <c r="O277">
        <f>SUM($M277:N277)</f>
        <v>650.95999999999992</v>
      </c>
    </row>
    <row r="278" spans="1:15">
      <c r="A278" t="s">
        <v>332</v>
      </c>
      <c r="B278" s="2">
        <v>45985</v>
      </c>
      <c r="C278" t="s">
        <v>23</v>
      </c>
      <c r="D278" t="s">
        <v>28</v>
      </c>
      <c r="E278" t="s">
        <v>42</v>
      </c>
      <c r="F278" t="s">
        <v>30</v>
      </c>
      <c r="G278" t="s">
        <v>20</v>
      </c>
      <c r="H278" t="s">
        <v>45</v>
      </c>
      <c r="I278">
        <v>0</v>
      </c>
      <c r="J278">
        <v>0.99</v>
      </c>
      <c r="K278">
        <v>1.5</v>
      </c>
      <c r="L278">
        <v>2.02</v>
      </c>
      <c r="M278">
        <v>263.20999999999998</v>
      </c>
      <c r="N278">
        <v>70.7</v>
      </c>
      <c r="O278">
        <f>SUM($M278:N278)</f>
        <v>333.90999999999997</v>
      </c>
    </row>
    <row r="279" spans="1:15">
      <c r="A279" t="s">
        <v>333</v>
      </c>
      <c r="B279" s="2">
        <v>45986</v>
      </c>
      <c r="C279" t="s">
        <v>23</v>
      </c>
      <c r="D279" t="s">
        <v>44</v>
      </c>
      <c r="E279" t="s">
        <v>18</v>
      </c>
      <c r="F279" t="s">
        <v>30</v>
      </c>
      <c r="G279" t="s">
        <v>20</v>
      </c>
      <c r="H279" t="s">
        <v>39</v>
      </c>
      <c r="I279">
        <v>1</v>
      </c>
      <c r="J279">
        <v>2.91</v>
      </c>
      <c r="K279">
        <v>2.94</v>
      </c>
      <c r="L279">
        <v>2.68</v>
      </c>
      <c r="M279">
        <v>806.92</v>
      </c>
      <c r="N279">
        <v>93.8</v>
      </c>
      <c r="O279">
        <f>SUM($M279:N279)</f>
        <v>900.71999999999991</v>
      </c>
    </row>
    <row r="280" spans="1:15">
      <c r="A280" t="s">
        <v>334</v>
      </c>
      <c r="B280" s="2">
        <v>45987</v>
      </c>
      <c r="C280" t="s">
        <v>65</v>
      </c>
      <c r="D280" t="s">
        <v>28</v>
      </c>
      <c r="E280" t="s">
        <v>33</v>
      </c>
      <c r="F280" t="s">
        <v>30</v>
      </c>
      <c r="G280" t="s">
        <v>20</v>
      </c>
      <c r="H280" t="s">
        <v>21</v>
      </c>
      <c r="I280">
        <v>0</v>
      </c>
      <c r="J280">
        <v>0.52</v>
      </c>
      <c r="K280">
        <v>1.59</v>
      </c>
      <c r="L280">
        <v>1.57</v>
      </c>
      <c r="M280">
        <v>202.69</v>
      </c>
      <c r="N280">
        <v>62.8</v>
      </c>
      <c r="O280">
        <f>SUM($M280:N280)</f>
        <v>265.49</v>
      </c>
    </row>
    <row r="281" spans="1:15">
      <c r="A281" t="s">
        <v>335</v>
      </c>
      <c r="B281" s="2">
        <v>45988</v>
      </c>
      <c r="C281" t="s">
        <v>61</v>
      </c>
      <c r="D281" t="s">
        <v>28</v>
      </c>
      <c r="E281" t="s">
        <v>37</v>
      </c>
      <c r="F281" t="s">
        <v>30</v>
      </c>
      <c r="G281" t="s">
        <v>20</v>
      </c>
      <c r="H281" t="s">
        <v>25</v>
      </c>
      <c r="I281">
        <v>0</v>
      </c>
      <c r="J281">
        <v>0.84</v>
      </c>
      <c r="K281">
        <v>0.47</v>
      </c>
      <c r="L281">
        <v>0.53</v>
      </c>
      <c r="M281">
        <v>191.94</v>
      </c>
      <c r="N281">
        <v>18.55</v>
      </c>
      <c r="O281">
        <f>SUM($M281:N281)</f>
        <v>210.49</v>
      </c>
    </row>
    <row r="282" spans="1:15">
      <c r="A282" t="s">
        <v>336</v>
      </c>
      <c r="B282" s="2">
        <v>45989</v>
      </c>
      <c r="C282" t="s">
        <v>61</v>
      </c>
      <c r="D282" t="s">
        <v>17</v>
      </c>
      <c r="E282" t="s">
        <v>24</v>
      </c>
      <c r="F282" t="s">
        <v>62</v>
      </c>
      <c r="G282" t="s">
        <v>20</v>
      </c>
      <c r="H282" t="s">
        <v>55</v>
      </c>
      <c r="I282">
        <v>1</v>
      </c>
      <c r="J282">
        <v>0.76</v>
      </c>
      <c r="K282">
        <v>7.76</v>
      </c>
      <c r="L282">
        <v>9.34</v>
      </c>
      <c r="M282">
        <v>1357.43</v>
      </c>
      <c r="N282">
        <v>467</v>
      </c>
      <c r="O282">
        <f>SUM($M282:N282)</f>
        <v>1824.43</v>
      </c>
    </row>
    <row r="283" spans="1:15">
      <c r="A283" t="s">
        <v>337</v>
      </c>
      <c r="B283" s="2">
        <v>45992</v>
      </c>
      <c r="C283" t="s">
        <v>79</v>
      </c>
      <c r="D283" t="s">
        <v>17</v>
      </c>
      <c r="E283" t="s">
        <v>68</v>
      </c>
      <c r="F283" t="s">
        <v>62</v>
      </c>
      <c r="G283" t="s">
        <v>63</v>
      </c>
      <c r="H283" t="s">
        <v>21</v>
      </c>
      <c r="I283">
        <v>1</v>
      </c>
      <c r="J283">
        <v>1.72</v>
      </c>
      <c r="K283">
        <v>5.55</v>
      </c>
      <c r="L283">
        <v>5.16</v>
      </c>
      <c r="M283">
        <v>2030.5</v>
      </c>
      <c r="N283">
        <v>206.4</v>
      </c>
      <c r="O283">
        <f>SUM($M283:N283)</f>
        <v>2236.9</v>
      </c>
    </row>
    <row r="284" spans="1:15">
      <c r="A284" t="s">
        <v>338</v>
      </c>
      <c r="B284" s="2">
        <v>45994</v>
      </c>
      <c r="C284" t="s">
        <v>53</v>
      </c>
      <c r="D284" t="s">
        <v>28</v>
      </c>
      <c r="E284" t="s">
        <v>37</v>
      </c>
      <c r="F284" t="s">
        <v>38</v>
      </c>
      <c r="G284" t="s">
        <v>20</v>
      </c>
      <c r="H284" t="s">
        <v>45</v>
      </c>
      <c r="I284">
        <v>0</v>
      </c>
      <c r="J284">
        <v>0.55000000000000004</v>
      </c>
      <c r="K284">
        <v>1.18</v>
      </c>
      <c r="L284">
        <v>1.1100000000000001</v>
      </c>
      <c r="M284">
        <v>86.18</v>
      </c>
      <c r="N284">
        <v>49.95</v>
      </c>
      <c r="O284">
        <f>SUM($M284:N284)</f>
        <v>136.13</v>
      </c>
    </row>
    <row r="285" spans="1:15">
      <c r="A285" t="s">
        <v>339</v>
      </c>
      <c r="B285" s="2">
        <v>45995</v>
      </c>
      <c r="C285" t="s">
        <v>65</v>
      </c>
      <c r="D285" t="s">
        <v>17</v>
      </c>
      <c r="E285" t="s">
        <v>18</v>
      </c>
      <c r="F285" t="s">
        <v>62</v>
      </c>
      <c r="G285" t="s">
        <v>20</v>
      </c>
      <c r="H285" t="s">
        <v>39</v>
      </c>
      <c r="I285">
        <v>1</v>
      </c>
      <c r="J285">
        <v>11.21</v>
      </c>
      <c r="K285">
        <v>8.57</v>
      </c>
      <c r="L285">
        <v>11.11</v>
      </c>
      <c r="M285">
        <v>1779.25</v>
      </c>
      <c r="N285">
        <v>444.4</v>
      </c>
      <c r="O285">
        <f>SUM($M285:N285)</f>
        <v>2223.65</v>
      </c>
    </row>
    <row r="286" spans="1:15">
      <c r="A286" t="s">
        <v>340</v>
      </c>
      <c r="B286" s="2">
        <v>45996</v>
      </c>
      <c r="C286" t="s">
        <v>36</v>
      </c>
      <c r="D286" t="s">
        <v>28</v>
      </c>
      <c r="E286" t="s">
        <v>42</v>
      </c>
      <c r="F286" t="s">
        <v>38</v>
      </c>
      <c r="G286" t="s">
        <v>63</v>
      </c>
      <c r="H286" t="s">
        <v>34</v>
      </c>
      <c r="I286">
        <v>0</v>
      </c>
      <c r="J286">
        <v>0.27</v>
      </c>
      <c r="K286">
        <v>1.1499999999999999</v>
      </c>
      <c r="L286">
        <v>1.4</v>
      </c>
      <c r="M286">
        <v>98.66</v>
      </c>
      <c r="N286">
        <v>49</v>
      </c>
      <c r="O286">
        <f>SUM($M286:N286)</f>
        <v>147.66</v>
      </c>
    </row>
    <row r="287" spans="1:15">
      <c r="A287" t="s">
        <v>341</v>
      </c>
      <c r="B287" s="2">
        <v>46000</v>
      </c>
      <c r="C287" t="s">
        <v>27</v>
      </c>
      <c r="D287" t="s">
        <v>17</v>
      </c>
      <c r="E287" t="s">
        <v>24</v>
      </c>
      <c r="F287" t="s">
        <v>62</v>
      </c>
      <c r="G287" t="s">
        <v>20</v>
      </c>
      <c r="H287" t="s">
        <v>21</v>
      </c>
      <c r="I287">
        <v>1</v>
      </c>
      <c r="J287">
        <v>11.02</v>
      </c>
      <c r="K287">
        <v>5.81</v>
      </c>
      <c r="L287">
        <v>6.19</v>
      </c>
      <c r="M287">
        <v>1552.03</v>
      </c>
      <c r="N287">
        <v>247.6</v>
      </c>
      <c r="O287">
        <f>SUM($M287:N287)</f>
        <v>1799.6299999999999</v>
      </c>
    </row>
    <row r="288" spans="1:15">
      <c r="A288" t="s">
        <v>342</v>
      </c>
      <c r="B288" s="2">
        <v>46000</v>
      </c>
      <c r="C288" t="s">
        <v>16</v>
      </c>
      <c r="D288" t="s">
        <v>44</v>
      </c>
      <c r="E288" t="s">
        <v>86</v>
      </c>
      <c r="F288" t="s">
        <v>62</v>
      </c>
      <c r="G288" t="s">
        <v>20</v>
      </c>
      <c r="H288" t="s">
        <v>34</v>
      </c>
      <c r="I288">
        <v>1</v>
      </c>
      <c r="J288">
        <v>5.01</v>
      </c>
      <c r="K288">
        <v>1.65</v>
      </c>
      <c r="L288">
        <v>1.59</v>
      </c>
      <c r="M288">
        <v>542.25</v>
      </c>
      <c r="N288">
        <v>63.6</v>
      </c>
      <c r="O288">
        <f>SUM($M288:N288)</f>
        <v>605.85</v>
      </c>
    </row>
    <row r="289" spans="1:15">
      <c r="A289" t="s">
        <v>343</v>
      </c>
      <c r="B289" s="2">
        <v>46001</v>
      </c>
      <c r="C289" t="s">
        <v>61</v>
      </c>
      <c r="D289" t="s">
        <v>44</v>
      </c>
      <c r="E289" t="s">
        <v>18</v>
      </c>
      <c r="F289" t="s">
        <v>30</v>
      </c>
      <c r="G289" t="s">
        <v>20</v>
      </c>
      <c r="H289" t="s">
        <v>25</v>
      </c>
      <c r="I289">
        <v>1</v>
      </c>
      <c r="J289">
        <v>4.5199999999999996</v>
      </c>
      <c r="K289">
        <v>4.55</v>
      </c>
      <c r="L289">
        <v>5.45</v>
      </c>
      <c r="M289">
        <v>794.6</v>
      </c>
      <c r="N289">
        <v>218</v>
      </c>
      <c r="O289">
        <f>SUM($M289:N289)</f>
        <v>1012.6</v>
      </c>
    </row>
    <row r="290" spans="1:15">
      <c r="A290" t="s">
        <v>344</v>
      </c>
      <c r="B290" s="2">
        <v>46006</v>
      </c>
      <c r="C290" t="s">
        <v>27</v>
      </c>
      <c r="D290" t="s">
        <v>17</v>
      </c>
      <c r="E290" t="s">
        <v>47</v>
      </c>
      <c r="F290" t="s">
        <v>62</v>
      </c>
      <c r="G290" t="s">
        <v>20</v>
      </c>
      <c r="H290" t="s">
        <v>34</v>
      </c>
      <c r="I290">
        <v>1</v>
      </c>
      <c r="J290">
        <v>0.76</v>
      </c>
      <c r="K290">
        <v>6.86</v>
      </c>
      <c r="L290">
        <v>5.58</v>
      </c>
      <c r="M290">
        <v>1249.1099999999999</v>
      </c>
      <c r="N290">
        <v>251.1</v>
      </c>
      <c r="O290">
        <f>SUM($M290:N290)</f>
        <v>1500.2099999999998</v>
      </c>
    </row>
    <row r="291" spans="1:15">
      <c r="A291" t="s">
        <v>345</v>
      </c>
      <c r="B291" s="2">
        <v>46007</v>
      </c>
      <c r="C291" t="s">
        <v>32</v>
      </c>
      <c r="D291" t="s">
        <v>17</v>
      </c>
      <c r="E291" t="s">
        <v>18</v>
      </c>
      <c r="F291" t="s">
        <v>62</v>
      </c>
      <c r="G291" t="s">
        <v>20</v>
      </c>
      <c r="H291" t="s">
        <v>39</v>
      </c>
      <c r="I291">
        <v>2</v>
      </c>
      <c r="J291">
        <v>8.68</v>
      </c>
      <c r="K291">
        <v>6.04</v>
      </c>
      <c r="L291">
        <v>6.09</v>
      </c>
      <c r="M291">
        <v>1492.37</v>
      </c>
      <c r="N291">
        <v>243.6</v>
      </c>
      <c r="O291">
        <f>SUM($M291:N291)</f>
        <v>1735.9699999999998</v>
      </c>
    </row>
    <row r="292" spans="1:15">
      <c r="A292" t="s">
        <v>346</v>
      </c>
      <c r="B292" s="2">
        <v>46008</v>
      </c>
      <c r="C292" t="s">
        <v>27</v>
      </c>
      <c r="D292" t="s">
        <v>44</v>
      </c>
      <c r="E292" t="s">
        <v>86</v>
      </c>
      <c r="F292" t="s">
        <v>30</v>
      </c>
      <c r="G292" t="s">
        <v>20</v>
      </c>
      <c r="H292" t="s">
        <v>45</v>
      </c>
      <c r="I292">
        <v>1</v>
      </c>
      <c r="J292">
        <v>1.88</v>
      </c>
      <c r="K292">
        <v>2.41</v>
      </c>
      <c r="L292">
        <v>2.29</v>
      </c>
      <c r="M292">
        <v>546.52</v>
      </c>
      <c r="N292">
        <v>103.05</v>
      </c>
      <c r="O292">
        <f>SUM($M292:N292)</f>
        <v>649.56999999999994</v>
      </c>
    </row>
    <row r="293" spans="1:15">
      <c r="A293" t="s">
        <v>347</v>
      </c>
      <c r="B293" s="2">
        <v>46009</v>
      </c>
      <c r="C293" t="s">
        <v>32</v>
      </c>
      <c r="D293" t="s">
        <v>28</v>
      </c>
      <c r="E293" t="s">
        <v>29</v>
      </c>
      <c r="F293" t="s">
        <v>30</v>
      </c>
      <c r="G293" t="s">
        <v>63</v>
      </c>
      <c r="H293" t="s">
        <v>69</v>
      </c>
      <c r="I293">
        <v>0</v>
      </c>
      <c r="J293">
        <v>0</v>
      </c>
      <c r="K293">
        <v>1.25</v>
      </c>
      <c r="L293">
        <v>1.41</v>
      </c>
      <c r="M293">
        <v>193.9</v>
      </c>
      <c r="N293">
        <v>56.4</v>
      </c>
      <c r="O293">
        <f>SUM($M293:N293)</f>
        <v>250.3</v>
      </c>
    </row>
    <row r="294" spans="1:15">
      <c r="A294" t="s">
        <v>348</v>
      </c>
      <c r="B294" s="2">
        <v>46011</v>
      </c>
      <c r="C294" t="s">
        <v>72</v>
      </c>
      <c r="D294" t="s">
        <v>28</v>
      </c>
      <c r="E294" t="s">
        <v>37</v>
      </c>
      <c r="F294" t="s">
        <v>30</v>
      </c>
      <c r="G294" t="s">
        <v>20</v>
      </c>
      <c r="H294" t="s">
        <v>69</v>
      </c>
      <c r="I294">
        <v>0</v>
      </c>
      <c r="J294">
        <v>0.14000000000000001</v>
      </c>
      <c r="K294">
        <v>0.61</v>
      </c>
      <c r="L294">
        <v>0.55000000000000004</v>
      </c>
      <c r="M294">
        <v>195.21</v>
      </c>
      <c r="N294">
        <v>22</v>
      </c>
      <c r="O294">
        <f>SUM($M294:N294)</f>
        <v>217.21</v>
      </c>
    </row>
    <row r="295" spans="1:15">
      <c r="A295" t="s">
        <v>349</v>
      </c>
      <c r="B295" s="2">
        <v>46011</v>
      </c>
      <c r="C295" t="s">
        <v>72</v>
      </c>
      <c r="D295" t="s">
        <v>28</v>
      </c>
      <c r="E295" t="s">
        <v>42</v>
      </c>
      <c r="F295" t="s">
        <v>30</v>
      </c>
      <c r="G295" t="s">
        <v>57</v>
      </c>
      <c r="H295" t="s">
        <v>58</v>
      </c>
      <c r="I295">
        <v>0</v>
      </c>
      <c r="J295">
        <v>0.39</v>
      </c>
      <c r="K295">
        <v>0.46</v>
      </c>
      <c r="L295">
        <v>0.59</v>
      </c>
      <c r="M295">
        <v>183.1</v>
      </c>
      <c r="N295">
        <v>26.55</v>
      </c>
      <c r="O295">
        <f>SUM($M295:N295)</f>
        <v>209.65</v>
      </c>
    </row>
    <row r="296" spans="1:15">
      <c r="A296" t="s">
        <v>350</v>
      </c>
      <c r="B296" s="2">
        <v>46012</v>
      </c>
      <c r="C296" t="s">
        <v>61</v>
      </c>
      <c r="D296" t="s">
        <v>44</v>
      </c>
      <c r="E296" t="s">
        <v>51</v>
      </c>
      <c r="F296" t="s">
        <v>30</v>
      </c>
      <c r="G296" t="s">
        <v>20</v>
      </c>
      <c r="H296" t="s">
        <v>21</v>
      </c>
      <c r="I296">
        <v>1</v>
      </c>
      <c r="J296">
        <v>3.52</v>
      </c>
      <c r="K296">
        <v>3.59</v>
      </c>
      <c r="L296">
        <v>4.6500000000000004</v>
      </c>
      <c r="M296">
        <v>605.91</v>
      </c>
      <c r="N296">
        <v>186</v>
      </c>
      <c r="O296">
        <f>SUM($M296:N296)</f>
        <v>791.91</v>
      </c>
    </row>
    <row r="297" spans="1:15">
      <c r="A297" t="s">
        <v>351</v>
      </c>
      <c r="B297" s="2">
        <v>46014</v>
      </c>
      <c r="C297" t="s">
        <v>65</v>
      </c>
      <c r="D297" t="s">
        <v>28</v>
      </c>
      <c r="E297" t="s">
        <v>37</v>
      </c>
      <c r="F297" t="s">
        <v>38</v>
      </c>
      <c r="G297" t="s">
        <v>20</v>
      </c>
      <c r="H297" t="s">
        <v>25</v>
      </c>
      <c r="I297">
        <v>0</v>
      </c>
      <c r="J297">
        <v>0.56999999999999995</v>
      </c>
      <c r="K297">
        <v>0.83</v>
      </c>
      <c r="L297">
        <v>0.68</v>
      </c>
      <c r="M297">
        <v>96.53</v>
      </c>
      <c r="N297">
        <v>30.6</v>
      </c>
      <c r="O297">
        <f>SUM($M297:N297)</f>
        <v>127.13</v>
      </c>
    </row>
    <row r="298" spans="1:15">
      <c r="A298" t="s">
        <v>352</v>
      </c>
      <c r="B298" s="2">
        <v>46016</v>
      </c>
      <c r="C298" t="s">
        <v>72</v>
      </c>
      <c r="D298" t="s">
        <v>17</v>
      </c>
      <c r="E298" t="s">
        <v>24</v>
      </c>
      <c r="F298" t="s">
        <v>62</v>
      </c>
      <c r="G298" t="s">
        <v>20</v>
      </c>
      <c r="H298" t="s">
        <v>25</v>
      </c>
      <c r="I298">
        <v>1</v>
      </c>
      <c r="J298">
        <v>5.67</v>
      </c>
      <c r="K298">
        <v>8.75</v>
      </c>
      <c r="L298">
        <v>10.88</v>
      </c>
      <c r="M298">
        <v>1701.55</v>
      </c>
      <c r="N298">
        <v>489.6</v>
      </c>
      <c r="O298">
        <f>SUM($M298:N298)</f>
        <v>2191.15</v>
      </c>
    </row>
    <row r="299" spans="1:15">
      <c r="A299" t="s">
        <v>353</v>
      </c>
      <c r="B299" s="2">
        <v>46019</v>
      </c>
      <c r="C299" t="s">
        <v>32</v>
      </c>
      <c r="D299" t="s">
        <v>44</v>
      </c>
      <c r="E299" t="s">
        <v>24</v>
      </c>
      <c r="F299" t="s">
        <v>30</v>
      </c>
      <c r="G299" t="s">
        <v>20</v>
      </c>
      <c r="H299" t="s">
        <v>55</v>
      </c>
      <c r="I299">
        <v>1</v>
      </c>
      <c r="J299">
        <v>1.1299999999999999</v>
      </c>
      <c r="K299">
        <v>7</v>
      </c>
      <c r="L299">
        <v>8.7899999999999991</v>
      </c>
      <c r="M299">
        <v>938.84</v>
      </c>
      <c r="N299">
        <v>395.55</v>
      </c>
      <c r="O299">
        <f>SUM($M299:N299)</f>
        <v>1334.39</v>
      </c>
    </row>
    <row r="300" spans="1:15">
      <c r="A300" t="s">
        <v>354</v>
      </c>
      <c r="B300" s="2">
        <v>46020</v>
      </c>
      <c r="C300" t="s">
        <v>72</v>
      </c>
      <c r="D300" t="s">
        <v>28</v>
      </c>
      <c r="E300" t="s">
        <v>37</v>
      </c>
      <c r="F300" t="s">
        <v>38</v>
      </c>
      <c r="G300" t="s">
        <v>20</v>
      </c>
      <c r="H300" t="s">
        <v>69</v>
      </c>
      <c r="I300">
        <v>0</v>
      </c>
      <c r="J300">
        <v>0.88</v>
      </c>
      <c r="K300">
        <v>0.37</v>
      </c>
      <c r="L300">
        <v>0.5</v>
      </c>
      <c r="M300">
        <v>137.81</v>
      </c>
      <c r="N300">
        <v>17.5</v>
      </c>
      <c r="O300">
        <f>SUM($M300:N300)</f>
        <v>155.31</v>
      </c>
    </row>
    <row r="301" spans="1:15">
      <c r="A301" t="s">
        <v>355</v>
      </c>
      <c r="B301" s="2">
        <v>46021</v>
      </c>
      <c r="C301" t="s">
        <v>49</v>
      </c>
      <c r="D301" t="s">
        <v>44</v>
      </c>
      <c r="E301" t="s">
        <v>68</v>
      </c>
      <c r="F301" t="s">
        <v>30</v>
      </c>
      <c r="G301" t="s">
        <v>20</v>
      </c>
      <c r="H301" t="s">
        <v>45</v>
      </c>
      <c r="I301">
        <v>1</v>
      </c>
      <c r="J301">
        <v>4.18</v>
      </c>
      <c r="K301">
        <v>0.59</v>
      </c>
      <c r="L301">
        <v>0.76</v>
      </c>
      <c r="M301">
        <v>785.82</v>
      </c>
      <c r="N301">
        <v>26.6</v>
      </c>
      <c r="O301">
        <f>SUM($M301:N301)</f>
        <v>812.42000000000007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workbookViewId="0">
      <selection activeCell="C16" sqref="C16"/>
    </sheetView>
  </sheetViews>
  <sheetFormatPr defaultRowHeight="15"/>
  <cols>
    <col min="1" max="1" width="8.7109375" customWidth="1"/>
    <col min="2" max="2" width="20.85546875" customWidth="1"/>
    <col min="3" max="3" width="17.5703125" customWidth="1"/>
    <col min="4" max="4" width="15.5703125" customWidth="1"/>
    <col min="5" max="5" width="12.85546875" customWidth="1"/>
    <col min="6" max="7" width="11.5703125" customWidth="1"/>
    <col min="8" max="8" width="25.85546875" customWidth="1"/>
    <col min="9" max="9" width="24.7109375" customWidth="1"/>
    <col min="10" max="10" width="24.28515625" customWidth="1"/>
    <col min="11" max="11" width="23" customWidth="1"/>
  </cols>
  <sheetData>
    <row r="1" spans="1:10">
      <c r="A1" s="1" t="s">
        <v>2</v>
      </c>
      <c r="B1" s="1" t="s">
        <v>356</v>
      </c>
      <c r="C1" s="1" t="s">
        <v>357</v>
      </c>
      <c r="D1" s="1" t="s">
        <v>358</v>
      </c>
      <c r="E1" s="1" t="s">
        <v>359</v>
      </c>
      <c r="H1" s="13" t="s">
        <v>386</v>
      </c>
      <c r="I1" s="13" t="s">
        <v>387</v>
      </c>
      <c r="J1" s="13" t="s">
        <v>388</v>
      </c>
    </row>
    <row r="2" spans="1:10">
      <c r="A2" t="s">
        <v>32</v>
      </c>
      <c r="B2" t="s">
        <v>360</v>
      </c>
      <c r="C2" t="s">
        <v>361</v>
      </c>
      <c r="D2" t="s">
        <v>62</v>
      </c>
      <c r="E2">
        <v>2018</v>
      </c>
      <c r="H2" s="9">
        <v>365</v>
      </c>
      <c r="I2" s="9">
        <v>24</v>
      </c>
      <c r="J2" s="9">
        <f>H2*I2</f>
        <v>8760</v>
      </c>
    </row>
    <row r="3" spans="1:10">
      <c r="A3" t="s">
        <v>61</v>
      </c>
      <c r="B3" t="s">
        <v>360</v>
      </c>
      <c r="C3" t="s">
        <v>362</v>
      </c>
      <c r="D3" t="s">
        <v>62</v>
      </c>
      <c r="E3">
        <v>2019</v>
      </c>
      <c r="H3" s="12"/>
      <c r="I3" s="11"/>
    </row>
    <row r="4" spans="1:10">
      <c r="A4" t="s">
        <v>16</v>
      </c>
      <c r="B4" t="s">
        <v>363</v>
      </c>
      <c r="C4" t="s">
        <v>364</v>
      </c>
      <c r="D4" t="s">
        <v>19</v>
      </c>
      <c r="E4">
        <v>2017</v>
      </c>
      <c r="H4" s="12"/>
      <c r="I4" s="11"/>
    </row>
    <row r="5" spans="1:10">
      <c r="A5" t="s">
        <v>41</v>
      </c>
      <c r="B5" t="s">
        <v>363</v>
      </c>
      <c r="C5" t="s">
        <v>364</v>
      </c>
      <c r="D5" t="s">
        <v>19</v>
      </c>
      <c r="E5">
        <v>2016</v>
      </c>
    </row>
    <row r="6" spans="1:10" ht="15" customHeight="1">
      <c r="A6" t="s">
        <v>49</v>
      </c>
      <c r="B6" t="s">
        <v>365</v>
      </c>
      <c r="C6" t="s">
        <v>366</v>
      </c>
      <c r="D6" t="s">
        <v>30</v>
      </c>
      <c r="E6">
        <v>2020</v>
      </c>
      <c r="H6" s="10"/>
    </row>
    <row r="7" spans="1:10" ht="13.5" customHeight="1">
      <c r="A7" t="s">
        <v>79</v>
      </c>
      <c r="B7" t="s">
        <v>365</v>
      </c>
      <c r="C7" t="s">
        <v>366</v>
      </c>
      <c r="D7" t="s">
        <v>30</v>
      </c>
      <c r="E7">
        <v>2021</v>
      </c>
      <c r="H7" s="10"/>
    </row>
    <row r="8" spans="1:10">
      <c r="A8" t="s">
        <v>23</v>
      </c>
      <c r="B8" t="s">
        <v>367</v>
      </c>
      <c r="C8" t="s">
        <v>368</v>
      </c>
      <c r="D8" t="s">
        <v>62</v>
      </c>
      <c r="E8">
        <v>2019</v>
      </c>
    </row>
    <row r="9" spans="1:10">
      <c r="A9" t="s">
        <v>53</v>
      </c>
      <c r="B9" t="s">
        <v>369</v>
      </c>
      <c r="C9" t="s">
        <v>361</v>
      </c>
      <c r="D9" t="s">
        <v>30</v>
      </c>
      <c r="E9">
        <v>2020</v>
      </c>
    </row>
    <row r="10" spans="1:10">
      <c r="A10" t="s">
        <v>27</v>
      </c>
      <c r="B10" t="s">
        <v>369</v>
      </c>
      <c r="C10" t="s">
        <v>362</v>
      </c>
      <c r="D10" t="s">
        <v>30</v>
      </c>
      <c r="E10">
        <v>2018</v>
      </c>
    </row>
    <row r="11" spans="1:10">
      <c r="A11" t="s">
        <v>72</v>
      </c>
      <c r="B11" t="s">
        <v>370</v>
      </c>
      <c r="C11" t="s">
        <v>366</v>
      </c>
      <c r="D11" t="s">
        <v>62</v>
      </c>
      <c r="E11">
        <v>2021</v>
      </c>
    </row>
    <row r="12" spans="1:10">
      <c r="A12" t="s">
        <v>65</v>
      </c>
      <c r="B12" t="s">
        <v>370</v>
      </c>
      <c r="C12" t="s">
        <v>366</v>
      </c>
      <c r="D12" t="s">
        <v>62</v>
      </c>
      <c r="E12">
        <v>2020</v>
      </c>
    </row>
    <row r="13" spans="1:10">
      <c r="A13" t="s">
        <v>36</v>
      </c>
      <c r="B13" t="s">
        <v>371</v>
      </c>
      <c r="C13" t="s">
        <v>368</v>
      </c>
      <c r="D13" t="s">
        <v>38</v>
      </c>
      <c r="E13">
        <v>2022</v>
      </c>
    </row>
    <row r="16" spans="1:10">
      <c r="A16" s="16" t="s">
        <v>2</v>
      </c>
      <c r="B16" s="16" t="s">
        <v>389</v>
      </c>
      <c r="C16" s="16" t="s">
        <v>390</v>
      </c>
      <c r="D16" s="16" t="s">
        <v>391</v>
      </c>
      <c r="E16" s="16" t="s">
        <v>392</v>
      </c>
      <c r="F16" s="16" t="s">
        <v>393</v>
      </c>
      <c r="G16" s="16" t="s">
        <v>394</v>
      </c>
      <c r="H16" s="16" t="s">
        <v>395</v>
      </c>
    </row>
    <row r="17" spans="1:8">
      <c r="A17" t="s">
        <v>32</v>
      </c>
      <c r="B17" s="15">
        <v>8760</v>
      </c>
      <c r="C17" s="14">
        <f>SUMIFS(Table1[Downtime_Hours],Table1[Asset_ID],Asset_Master!A17)</f>
        <v>73.359999999999985</v>
      </c>
      <c r="D17" s="15">
        <f>B17-C17</f>
        <v>8686.64</v>
      </c>
      <c r="E17" s="14">
        <f>SUMIFS(Table1[Failure_Count],Table1[Asset_ID],Asset_Master!A17)</f>
        <v>15</v>
      </c>
      <c r="F17" s="14">
        <f>IFERROR((D17/E17),0)</f>
        <v>579.10933333333332</v>
      </c>
      <c r="G17" s="14">
        <f>IFERROR(SUMIFS(Table1[Repair_Hours],Table1[Asset_ID],Asset_Master!A17) /( Asset_Master!E17),0)</f>
        <v>6.1739999999999986</v>
      </c>
      <c r="H17" s="14">
        <f>IFERROR((D17/B17),0)</f>
        <v>0.99162557077625568</v>
      </c>
    </row>
    <row r="18" spans="1:8">
      <c r="A18" t="s">
        <v>61</v>
      </c>
      <c r="B18" s="15">
        <v>8760</v>
      </c>
      <c r="C18" s="14">
        <f>SUMIFS(Table1[Downtime_Hours],Table1[Asset_ID],Asset_Master!A18)</f>
        <v>95.899999999999991</v>
      </c>
      <c r="D18" s="15">
        <f t="shared" ref="D18:D28" si="0">B18-C18</f>
        <v>8664.1</v>
      </c>
      <c r="E18" s="14">
        <f>SUMIFS(Table1[Failure_Count],Table1[Asset_ID],Asset_Master!A18)</f>
        <v>21</v>
      </c>
      <c r="F18" s="14">
        <f t="shared" ref="F18:F28" si="1">IFERROR((D18/E18),0)</f>
        <v>412.5761904761905</v>
      </c>
      <c r="G18" s="14">
        <f>IFERROR(SUMIFS(Table1[Repair_Hours],Table1[Asset_ID],Asset_Master!A18) /( Asset_Master!E18),0)</f>
        <v>4.4776190476190481</v>
      </c>
      <c r="H18" s="14">
        <f t="shared" ref="H18:H28" si="2">IFERROR((D18/B18),0)</f>
        <v>0.98905251141552519</v>
      </c>
    </row>
    <row r="19" spans="1:8">
      <c r="A19" t="s">
        <v>16</v>
      </c>
      <c r="B19" s="15">
        <v>8760</v>
      </c>
      <c r="C19" s="14">
        <f>SUMIFS(Table1[Downtime_Hours],Table1[Asset_ID],Asset_Master!A19)</f>
        <v>148.05000000000001</v>
      </c>
      <c r="D19" s="15">
        <f t="shared" si="0"/>
        <v>8611.9500000000007</v>
      </c>
      <c r="E19" s="14">
        <f>SUMIFS(Table1[Failure_Count],Table1[Asset_ID],Asset_Master!A19)</f>
        <v>23</v>
      </c>
      <c r="F19" s="14">
        <f t="shared" si="1"/>
        <v>374.43260869565222</v>
      </c>
      <c r="G19" s="14">
        <f>IFERROR(SUMIFS(Table1[Repair_Hours],Table1[Asset_ID],Asset_Master!A19) /( Asset_Master!E19),0)</f>
        <v>7.33217391304348</v>
      </c>
      <c r="H19" s="14">
        <f t="shared" si="2"/>
        <v>0.98309931506849324</v>
      </c>
    </row>
    <row r="20" spans="1:8">
      <c r="A20" t="s">
        <v>41</v>
      </c>
      <c r="B20" s="15">
        <v>8760</v>
      </c>
      <c r="C20" s="14">
        <f>SUMIFS(Table1[Downtime_Hours],Table1[Asset_ID],Asset_Master!A20)</f>
        <v>101.92</v>
      </c>
      <c r="D20" s="15">
        <f t="shared" si="0"/>
        <v>8658.08</v>
      </c>
      <c r="E20" s="14">
        <f>SUMIFS(Table1[Failure_Count],Table1[Asset_ID],Asset_Master!A20)</f>
        <v>16</v>
      </c>
      <c r="F20" s="14">
        <f t="shared" si="1"/>
        <v>541.13</v>
      </c>
      <c r="G20" s="14">
        <f>IFERROR(SUMIFS(Table1[Repair_Hours],Table1[Asset_ID],Asset_Master!A20) /( Asset_Master!E20),0)</f>
        <v>7.4081249999999992</v>
      </c>
      <c r="H20" s="14">
        <f t="shared" si="2"/>
        <v>0.98836529680365293</v>
      </c>
    </row>
    <row r="21" spans="1:8">
      <c r="A21" t="s">
        <v>49</v>
      </c>
      <c r="B21" s="15">
        <v>8760</v>
      </c>
      <c r="C21" s="14">
        <f>SUMIFS(Table1[Downtime_Hours],Table1[Asset_ID],Asset_Master!A21)</f>
        <v>28.89</v>
      </c>
      <c r="D21" s="15">
        <f t="shared" si="0"/>
        <v>8731.11</v>
      </c>
      <c r="E21" s="14">
        <f>SUMIFS(Table1[Failure_Count],Table1[Asset_ID],Asset_Master!A21)</f>
        <v>7</v>
      </c>
      <c r="F21" s="14">
        <f t="shared" si="1"/>
        <v>1247.3014285714287</v>
      </c>
      <c r="G21" s="14">
        <f>IFERROR(SUMIFS(Table1[Repair_Hours],Table1[Asset_ID],Asset_Master!A21) /( Asset_Master!E21),0)</f>
        <v>4.3771428571428572</v>
      </c>
      <c r="H21" s="14">
        <f t="shared" si="2"/>
        <v>0.99670205479452056</v>
      </c>
    </row>
    <row r="22" spans="1:8">
      <c r="A22" t="s">
        <v>79</v>
      </c>
      <c r="B22" s="15">
        <v>8760</v>
      </c>
      <c r="C22" s="14">
        <f>SUMIFS(Table1[Downtime_Hours],Table1[Asset_ID],Asset_Master!A22)</f>
        <v>33.479999999999997</v>
      </c>
      <c r="D22" s="15">
        <f t="shared" si="0"/>
        <v>8726.52</v>
      </c>
      <c r="E22" s="14">
        <f>SUMIFS(Table1[Failure_Count],Table1[Asset_ID],Asset_Master!A22)</f>
        <v>10</v>
      </c>
      <c r="F22" s="14">
        <f t="shared" si="1"/>
        <v>872.65200000000004</v>
      </c>
      <c r="G22" s="14">
        <f>IFERROR(SUMIFS(Table1[Repair_Hours],Table1[Asset_ID],Asset_Master!A22) /( Asset_Master!E22),0)</f>
        <v>5.9270000000000005</v>
      </c>
      <c r="H22" s="14">
        <f t="shared" si="2"/>
        <v>0.99617808219178083</v>
      </c>
    </row>
    <row r="23" spans="1:8">
      <c r="A23" t="s">
        <v>23</v>
      </c>
      <c r="B23" s="15">
        <v>8760</v>
      </c>
      <c r="C23" s="14">
        <f>SUMIFS(Table1[Downtime_Hours],Table1[Asset_ID],Asset_Master!A23)</f>
        <v>44.91</v>
      </c>
      <c r="D23" s="15">
        <f t="shared" si="0"/>
        <v>8715.09</v>
      </c>
      <c r="E23" s="14">
        <f>SUMIFS(Table1[Failure_Count],Table1[Asset_ID],Asset_Master!A23)</f>
        <v>7</v>
      </c>
      <c r="F23" s="14">
        <f t="shared" si="1"/>
        <v>1245.0128571428572</v>
      </c>
      <c r="G23" s="14">
        <f>IFERROR(SUMIFS(Table1[Repair_Hours],Table1[Asset_ID],Asset_Master!A23) /( Asset_Master!E23),0)</f>
        <v>5.1728571428571444</v>
      </c>
      <c r="H23" s="14">
        <f t="shared" si="2"/>
        <v>0.99487328767123284</v>
      </c>
    </row>
    <row r="24" spans="1:8">
      <c r="A24" t="s">
        <v>53</v>
      </c>
      <c r="B24" s="15">
        <v>8760</v>
      </c>
      <c r="C24" s="14">
        <f>SUMIFS(Table1[Downtime_Hours],Table1[Asset_ID],Asset_Master!A24)</f>
        <v>43.000000000000007</v>
      </c>
      <c r="D24" s="15">
        <f t="shared" si="0"/>
        <v>8717</v>
      </c>
      <c r="E24" s="14">
        <f>SUMIFS(Table1[Failure_Count],Table1[Asset_ID],Asset_Master!A24)</f>
        <v>9</v>
      </c>
      <c r="F24" s="14">
        <f t="shared" si="1"/>
        <v>968.55555555555554</v>
      </c>
      <c r="G24" s="14">
        <f>IFERROR(SUMIFS(Table1[Repair_Hours],Table1[Asset_ID],Asset_Master!A24) /( Asset_Master!E24),0)</f>
        <v>5.9755555555555553</v>
      </c>
      <c r="H24" s="14">
        <f t="shared" si="2"/>
        <v>0.99509132420091329</v>
      </c>
    </row>
    <row r="25" spans="1:8">
      <c r="A25" t="s">
        <v>27</v>
      </c>
      <c r="B25" s="15">
        <v>8760</v>
      </c>
      <c r="C25" s="14">
        <f>SUMIFS(Table1[Downtime_Hours],Table1[Asset_ID],Asset_Master!A25)</f>
        <v>50.760000000000005</v>
      </c>
      <c r="D25" s="15">
        <f t="shared" si="0"/>
        <v>8709.24</v>
      </c>
      <c r="E25" s="14">
        <f>SUMIFS(Table1[Failure_Count],Table1[Asset_ID],Asset_Master!A25)</f>
        <v>12</v>
      </c>
      <c r="F25" s="14">
        <f t="shared" si="1"/>
        <v>725.77</v>
      </c>
      <c r="G25" s="14">
        <f>IFERROR(SUMIFS(Table1[Repair_Hours],Table1[Asset_ID],Asset_Master!A25) /( Asset_Master!E25),0)</f>
        <v>5.626666666666666</v>
      </c>
      <c r="H25" s="14">
        <f t="shared" si="2"/>
        <v>0.99420547945205473</v>
      </c>
    </row>
    <row r="26" spans="1:8">
      <c r="A26" t="s">
        <v>72</v>
      </c>
      <c r="B26" s="15">
        <v>8760</v>
      </c>
      <c r="C26" s="14">
        <f>SUMIFS(Table1[Downtime_Hours],Table1[Asset_ID],Asset_Master!A26)</f>
        <v>63.440000000000019</v>
      </c>
      <c r="D26" s="15">
        <f t="shared" si="0"/>
        <v>8696.56</v>
      </c>
      <c r="E26" s="14">
        <f>SUMIFS(Table1[Failure_Count],Table1[Asset_ID],Asset_Master!A26)</f>
        <v>14</v>
      </c>
      <c r="F26" s="14">
        <f t="shared" si="1"/>
        <v>621.18285714285707</v>
      </c>
      <c r="G26" s="14">
        <f>IFERROR(SUMIFS(Table1[Repair_Hours],Table1[Asset_ID],Asset_Master!A26) /( Asset_Master!E26),0)</f>
        <v>5.6321428571428571</v>
      </c>
      <c r="H26" s="14">
        <f t="shared" si="2"/>
        <v>0.99275799086757988</v>
      </c>
    </row>
    <row r="27" spans="1:8">
      <c r="A27" t="s">
        <v>65</v>
      </c>
      <c r="B27" s="15">
        <v>8760</v>
      </c>
      <c r="C27" s="14">
        <f>SUMIFS(Table1[Downtime_Hours],Table1[Asset_ID],Asset_Master!A27)</f>
        <v>55.260000000000005</v>
      </c>
      <c r="D27" s="15">
        <f t="shared" si="0"/>
        <v>8704.74</v>
      </c>
      <c r="E27" s="14">
        <f>SUMIFS(Table1[Failure_Count],Table1[Asset_ID],Asset_Master!A27)</f>
        <v>9</v>
      </c>
      <c r="F27" s="14">
        <f t="shared" si="1"/>
        <v>967.19333333333327</v>
      </c>
      <c r="G27" s="14">
        <f>IFERROR(SUMIFS(Table1[Repair_Hours],Table1[Asset_ID],Asset_Master!A27) /( Asset_Master!E27),0)</f>
        <v>6.0377777777777784</v>
      </c>
      <c r="H27" s="14">
        <f t="shared" si="2"/>
        <v>0.99369178082191778</v>
      </c>
    </row>
    <row r="28" spans="1:8">
      <c r="A28" t="s">
        <v>36</v>
      </c>
      <c r="B28" s="15">
        <v>8760</v>
      </c>
      <c r="C28" s="14">
        <f>SUMIFS(Table1[Downtime_Hours],Table1[Asset_ID],Asset_Master!A28)</f>
        <v>54.56</v>
      </c>
      <c r="D28" s="15">
        <f t="shared" si="0"/>
        <v>8705.44</v>
      </c>
      <c r="E28" s="14">
        <f>SUMIFS(Table1[Failure_Count],Table1[Asset_ID],Asset_Master!A28)</f>
        <v>11</v>
      </c>
      <c r="F28" s="14">
        <f t="shared" si="1"/>
        <v>791.40363636363645</v>
      </c>
      <c r="G28" s="14">
        <f>IFERROR(SUMIFS(Table1[Repair_Hours],Table1[Asset_ID],Asset_Master!A28) /( Asset_Master!E28),0)</f>
        <v>3.7809090909090908</v>
      </c>
      <c r="H28" s="14">
        <f t="shared" si="2"/>
        <v>0.99377168949771699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61CE-6CDB-47D5-8A6D-26BCB72A74CC}">
  <dimension ref="A1:P301"/>
  <sheetViews>
    <sheetView topLeftCell="I1" workbookViewId="0"/>
  </sheetViews>
  <sheetFormatPr defaultRowHeight="15"/>
  <cols>
    <col min="1" max="1" width="17" customWidth="1"/>
    <col min="2" max="2" width="18.28515625" style="8" customWidth="1"/>
    <col min="3" max="3" width="13.28515625" bestFit="1" customWidth="1"/>
    <col min="4" max="4" width="20.140625" customWidth="1"/>
    <col min="5" max="5" width="15.5703125" customWidth="1"/>
    <col min="6" max="6" width="9.7109375" customWidth="1"/>
    <col min="7" max="7" width="11" customWidth="1"/>
    <col min="8" max="8" width="15.42578125" customWidth="1"/>
    <col min="9" max="9" width="15.5703125" customWidth="1"/>
    <col min="10" max="10" width="18.5703125" customWidth="1"/>
    <col min="11" max="11" width="15" customWidth="1"/>
    <col min="12" max="12" width="15.28515625" customWidth="1"/>
    <col min="13" max="13" width="22.28515625" customWidth="1"/>
    <col min="14" max="14" width="18.7109375" customWidth="1"/>
    <col min="15" max="15" width="29.85546875" customWidth="1"/>
    <col min="16" max="16" width="39.28515625" customWidth="1"/>
  </cols>
  <sheetData>
    <row r="1" spans="1:16">
      <c r="A1" s="5" t="s">
        <v>0</v>
      </c>
      <c r="B1" s="7" t="s">
        <v>1</v>
      </c>
      <c r="C1" s="5" t="s">
        <v>2</v>
      </c>
      <c r="D1" s="5" t="s">
        <v>3</v>
      </c>
      <c r="E1" s="5" t="s">
        <v>4</v>
      </c>
      <c r="F1" s="5" t="s">
        <v>5</v>
      </c>
      <c r="G1" s="5" t="s">
        <v>6</v>
      </c>
      <c r="H1" s="5" t="s">
        <v>7</v>
      </c>
      <c r="I1" s="5" t="s">
        <v>8</v>
      </c>
      <c r="J1" s="5" t="s">
        <v>9</v>
      </c>
      <c r="K1" s="5" t="s">
        <v>10</v>
      </c>
      <c r="L1" s="5" t="s">
        <v>11</v>
      </c>
      <c r="M1" s="5" t="s">
        <v>12</v>
      </c>
      <c r="N1" s="5" t="s">
        <v>13</v>
      </c>
      <c r="O1" s="5" t="s">
        <v>14</v>
      </c>
      <c r="P1" s="6" t="s">
        <v>385</v>
      </c>
    </row>
    <row r="2" spans="1:16">
      <c r="A2" t="s">
        <v>15</v>
      </c>
      <c r="B2" s="8">
        <v>45660</v>
      </c>
      <c r="C2" t="s">
        <v>16</v>
      </c>
      <c r="D2" t="s">
        <v>17</v>
      </c>
      <c r="E2" t="s">
        <v>18</v>
      </c>
      <c r="F2" t="s">
        <v>19</v>
      </c>
      <c r="G2" t="s">
        <v>20</v>
      </c>
      <c r="H2" t="s">
        <v>21</v>
      </c>
      <c r="I2">
        <v>1</v>
      </c>
      <c r="J2">
        <v>8.31</v>
      </c>
      <c r="K2">
        <v>6.28</v>
      </c>
      <c r="L2">
        <v>6.47</v>
      </c>
      <c r="M2">
        <v>1136.83</v>
      </c>
      <c r="N2">
        <v>226.45</v>
      </c>
      <c r="O2">
        <f>SUM($M2:N2)</f>
        <v>1363.28</v>
      </c>
      <c r="P2" s="3">
        <f>IFERROR(Table1[[#This Row],[Total_Maintenance_Cost_USD]]/Table1[[#This Row],[Labour_Hours]],0)</f>
        <v>210.70788253477591</v>
      </c>
    </row>
    <row r="3" spans="1:16">
      <c r="A3" t="s">
        <v>22</v>
      </c>
      <c r="B3" s="8">
        <v>45665</v>
      </c>
      <c r="C3" t="s">
        <v>23</v>
      </c>
      <c r="D3" t="s">
        <v>17</v>
      </c>
      <c r="E3" t="s">
        <v>24</v>
      </c>
      <c r="F3" t="s">
        <v>19</v>
      </c>
      <c r="G3" t="s">
        <v>20</v>
      </c>
      <c r="H3" t="s">
        <v>25</v>
      </c>
      <c r="I3">
        <v>1</v>
      </c>
      <c r="J3">
        <v>7.34</v>
      </c>
      <c r="K3">
        <v>6.79</v>
      </c>
      <c r="L3">
        <v>7.36</v>
      </c>
      <c r="M3">
        <v>2478.08</v>
      </c>
      <c r="N3">
        <v>257.60000000000002</v>
      </c>
      <c r="O3">
        <f>SUM($M3:N3)</f>
        <v>2735.68</v>
      </c>
      <c r="P3" s="3">
        <f>IFERROR(Table1[[#This Row],[Total_Maintenance_Cost_USD]]/Table1[[#This Row],[Labour_Hours]],0)</f>
        <v>371.695652173913</v>
      </c>
    </row>
    <row r="4" spans="1:16">
      <c r="A4" t="s">
        <v>26</v>
      </c>
      <c r="B4" s="8">
        <v>45665</v>
      </c>
      <c r="C4" t="s">
        <v>27</v>
      </c>
      <c r="D4" t="s">
        <v>28</v>
      </c>
      <c r="E4" t="s">
        <v>29</v>
      </c>
      <c r="F4" t="s">
        <v>30</v>
      </c>
      <c r="G4" t="s">
        <v>20</v>
      </c>
      <c r="H4" t="s">
        <v>21</v>
      </c>
      <c r="I4">
        <v>0</v>
      </c>
      <c r="J4">
        <v>0.35</v>
      </c>
      <c r="K4">
        <v>1.74</v>
      </c>
      <c r="L4">
        <v>1.92</v>
      </c>
      <c r="M4">
        <v>114.01</v>
      </c>
      <c r="N4">
        <v>86.4</v>
      </c>
      <c r="O4">
        <f>SUM($M4:N4)</f>
        <v>200.41000000000003</v>
      </c>
      <c r="P4" s="3">
        <f>IFERROR(Table1[[#This Row],[Total_Maintenance_Cost_USD]]/Table1[[#This Row],[Labour_Hours]],0)</f>
        <v>104.38020833333336</v>
      </c>
    </row>
    <row r="5" spans="1:16">
      <c r="A5" t="s">
        <v>31</v>
      </c>
      <c r="B5" s="8">
        <v>45666</v>
      </c>
      <c r="C5" t="s">
        <v>32</v>
      </c>
      <c r="D5" t="s">
        <v>28</v>
      </c>
      <c r="E5" t="s">
        <v>33</v>
      </c>
      <c r="F5" t="s">
        <v>30</v>
      </c>
      <c r="G5" t="s">
        <v>20</v>
      </c>
      <c r="H5" t="s">
        <v>34</v>
      </c>
      <c r="I5">
        <v>0</v>
      </c>
      <c r="J5">
        <v>0.69</v>
      </c>
      <c r="K5">
        <v>1.4</v>
      </c>
      <c r="L5">
        <v>1.57</v>
      </c>
      <c r="M5">
        <v>181.21</v>
      </c>
      <c r="N5">
        <v>70.650000000000006</v>
      </c>
      <c r="O5">
        <f>SUM($M5:N5)</f>
        <v>251.86</v>
      </c>
      <c r="P5" s="3">
        <f>IFERROR(Table1[[#This Row],[Total_Maintenance_Cost_USD]]/Table1[[#This Row],[Labour_Hours]],0)</f>
        <v>160.4203821656051</v>
      </c>
    </row>
    <row r="6" spans="1:16">
      <c r="A6" t="s">
        <v>35</v>
      </c>
      <c r="B6" s="8">
        <v>45666</v>
      </c>
      <c r="C6" t="s">
        <v>36</v>
      </c>
      <c r="D6" t="s">
        <v>28</v>
      </c>
      <c r="E6" t="s">
        <v>37</v>
      </c>
      <c r="F6" t="s">
        <v>38</v>
      </c>
      <c r="G6" t="s">
        <v>20</v>
      </c>
      <c r="H6" t="s">
        <v>39</v>
      </c>
      <c r="I6">
        <v>0</v>
      </c>
      <c r="J6">
        <v>0.73</v>
      </c>
      <c r="K6">
        <v>0.42</v>
      </c>
      <c r="L6">
        <v>0.5</v>
      </c>
      <c r="M6">
        <v>191.09</v>
      </c>
      <c r="N6">
        <v>20</v>
      </c>
      <c r="O6">
        <f>SUM($M6:N6)</f>
        <v>211.09</v>
      </c>
      <c r="P6" s="3">
        <f>IFERROR(Table1[[#This Row],[Total_Maintenance_Cost_USD]]/Table1[[#This Row],[Labour_Hours]],0)</f>
        <v>422.18</v>
      </c>
    </row>
    <row r="7" spans="1:16">
      <c r="A7" t="s">
        <v>40</v>
      </c>
      <c r="B7" s="8">
        <v>45669</v>
      </c>
      <c r="C7" t="s">
        <v>41</v>
      </c>
      <c r="D7" t="s">
        <v>28</v>
      </c>
      <c r="E7" t="s">
        <v>42</v>
      </c>
      <c r="F7" t="s">
        <v>30</v>
      </c>
      <c r="G7" t="s">
        <v>20</v>
      </c>
      <c r="H7" t="s">
        <v>25</v>
      </c>
      <c r="I7">
        <v>0</v>
      </c>
      <c r="J7">
        <v>1.07</v>
      </c>
      <c r="K7">
        <v>1.8</v>
      </c>
      <c r="L7">
        <v>2.2200000000000002</v>
      </c>
      <c r="M7">
        <v>94.27</v>
      </c>
      <c r="N7">
        <v>88.8</v>
      </c>
      <c r="O7">
        <f>SUM($M7:N7)</f>
        <v>183.07</v>
      </c>
      <c r="P7" s="3">
        <f>IFERROR(Table1[[#This Row],[Total_Maintenance_Cost_USD]]/Table1[[#This Row],[Labour_Hours]],0)</f>
        <v>82.463963963963948</v>
      </c>
    </row>
    <row r="8" spans="1:16">
      <c r="A8" t="s">
        <v>43</v>
      </c>
      <c r="B8" s="8">
        <v>45670</v>
      </c>
      <c r="C8" t="s">
        <v>36</v>
      </c>
      <c r="D8" t="s">
        <v>44</v>
      </c>
      <c r="E8" t="s">
        <v>24</v>
      </c>
      <c r="F8" t="s">
        <v>30</v>
      </c>
      <c r="G8" t="s">
        <v>20</v>
      </c>
      <c r="H8" t="s">
        <v>45</v>
      </c>
      <c r="I8">
        <v>1</v>
      </c>
      <c r="J8">
        <v>0.17</v>
      </c>
      <c r="K8">
        <v>3.95</v>
      </c>
      <c r="L8">
        <v>4.6399999999999997</v>
      </c>
      <c r="M8">
        <v>364.84</v>
      </c>
      <c r="N8">
        <v>232</v>
      </c>
      <c r="O8">
        <f>SUM($M8:N8)</f>
        <v>596.83999999999992</v>
      </c>
      <c r="P8" s="3">
        <f>IFERROR(Table1[[#This Row],[Total_Maintenance_Cost_USD]]/Table1[[#This Row],[Labour_Hours]],0)</f>
        <v>128.62931034482759</v>
      </c>
    </row>
    <row r="9" spans="1:16">
      <c r="A9" t="s">
        <v>46</v>
      </c>
      <c r="B9" s="8">
        <v>45671</v>
      </c>
      <c r="C9" t="s">
        <v>16</v>
      </c>
      <c r="D9" t="s">
        <v>44</v>
      </c>
      <c r="E9" t="s">
        <v>47</v>
      </c>
      <c r="F9" t="s">
        <v>30</v>
      </c>
      <c r="G9" t="s">
        <v>20</v>
      </c>
      <c r="H9" t="s">
        <v>34</v>
      </c>
      <c r="I9">
        <v>1</v>
      </c>
      <c r="J9">
        <v>5.59</v>
      </c>
      <c r="K9">
        <v>4.84</v>
      </c>
      <c r="L9">
        <v>6.13</v>
      </c>
      <c r="M9">
        <v>1136.31</v>
      </c>
      <c r="N9">
        <v>275.85000000000002</v>
      </c>
      <c r="O9">
        <f>SUM($M9:N9)</f>
        <v>1412.1599999999999</v>
      </c>
      <c r="P9" s="3">
        <f>IFERROR(Table1[[#This Row],[Total_Maintenance_Cost_USD]]/Table1[[#This Row],[Labour_Hours]],0)</f>
        <v>230.36867862969004</v>
      </c>
    </row>
    <row r="10" spans="1:16">
      <c r="A10" t="s">
        <v>48</v>
      </c>
      <c r="B10" s="8">
        <v>45673</v>
      </c>
      <c r="C10" t="s">
        <v>49</v>
      </c>
      <c r="D10" t="s">
        <v>28</v>
      </c>
      <c r="E10" t="s">
        <v>37</v>
      </c>
      <c r="F10" t="s">
        <v>38</v>
      </c>
      <c r="G10" t="s">
        <v>20</v>
      </c>
      <c r="H10" t="s">
        <v>34</v>
      </c>
      <c r="I10">
        <v>0</v>
      </c>
      <c r="J10">
        <v>0</v>
      </c>
      <c r="K10">
        <v>1.55</v>
      </c>
      <c r="L10">
        <v>1.32</v>
      </c>
      <c r="M10">
        <v>224.34</v>
      </c>
      <c r="N10">
        <v>46.2</v>
      </c>
      <c r="O10">
        <f>SUM($M10:N10)</f>
        <v>270.54000000000002</v>
      </c>
      <c r="P10" s="3">
        <f>IFERROR(Table1[[#This Row],[Total_Maintenance_Cost_USD]]/Table1[[#This Row],[Labour_Hours]],0)</f>
        <v>204.95454545454547</v>
      </c>
    </row>
    <row r="11" spans="1:16">
      <c r="A11" t="s">
        <v>50</v>
      </c>
      <c r="B11" s="8">
        <v>45673</v>
      </c>
      <c r="C11" t="s">
        <v>16</v>
      </c>
      <c r="D11" t="s">
        <v>44</v>
      </c>
      <c r="E11" t="s">
        <v>51</v>
      </c>
      <c r="F11" t="s">
        <v>30</v>
      </c>
      <c r="G11" t="s">
        <v>20</v>
      </c>
      <c r="H11" t="s">
        <v>34</v>
      </c>
      <c r="I11">
        <v>1</v>
      </c>
      <c r="J11">
        <v>6.97</v>
      </c>
      <c r="K11">
        <v>5.52</v>
      </c>
      <c r="L11">
        <v>7.21</v>
      </c>
      <c r="M11">
        <v>993.03</v>
      </c>
      <c r="N11">
        <v>360.5</v>
      </c>
      <c r="O11">
        <f>SUM($M11:N11)</f>
        <v>1353.53</v>
      </c>
      <c r="P11" s="3">
        <f>IFERROR(Table1[[#This Row],[Total_Maintenance_Cost_USD]]/Table1[[#This Row],[Labour_Hours]],0)</f>
        <v>187.72954230235783</v>
      </c>
    </row>
    <row r="12" spans="1:16">
      <c r="A12" t="s">
        <v>52</v>
      </c>
      <c r="B12" s="8">
        <v>45679</v>
      </c>
      <c r="C12" t="s">
        <v>53</v>
      </c>
      <c r="D12" t="s">
        <v>44</v>
      </c>
      <c r="E12" t="s">
        <v>54</v>
      </c>
      <c r="F12" t="s">
        <v>30</v>
      </c>
      <c r="G12" t="s">
        <v>20</v>
      </c>
      <c r="H12" t="s">
        <v>55</v>
      </c>
      <c r="I12">
        <v>1</v>
      </c>
      <c r="J12">
        <v>4.0199999999999996</v>
      </c>
      <c r="K12">
        <v>6.72</v>
      </c>
      <c r="L12">
        <v>7.36</v>
      </c>
      <c r="M12">
        <v>876.31</v>
      </c>
      <c r="N12">
        <v>257.60000000000002</v>
      </c>
      <c r="O12">
        <f>SUM($M12:N12)</f>
        <v>1133.9099999999999</v>
      </c>
      <c r="P12" s="3">
        <f>IFERROR(Table1[[#This Row],[Total_Maintenance_Cost_USD]]/Table1[[#This Row],[Labour_Hours]],0)</f>
        <v>154.06385869565216</v>
      </c>
    </row>
    <row r="13" spans="1:16">
      <c r="A13" t="s">
        <v>56</v>
      </c>
      <c r="B13" s="8">
        <v>45681</v>
      </c>
      <c r="C13" t="s">
        <v>32</v>
      </c>
      <c r="D13" t="s">
        <v>28</v>
      </c>
      <c r="E13" t="s">
        <v>29</v>
      </c>
      <c r="F13" t="s">
        <v>38</v>
      </c>
      <c r="G13" t="s">
        <v>57</v>
      </c>
      <c r="H13" t="s">
        <v>58</v>
      </c>
      <c r="I13">
        <v>0</v>
      </c>
      <c r="J13">
        <v>0.9</v>
      </c>
      <c r="K13">
        <v>1.71</v>
      </c>
      <c r="L13">
        <v>1.69</v>
      </c>
      <c r="M13">
        <v>110.06</v>
      </c>
      <c r="N13">
        <v>67.599999999999994</v>
      </c>
      <c r="O13">
        <f>SUM($M13:N13)</f>
        <v>177.66</v>
      </c>
      <c r="P13" s="3">
        <f>IFERROR(Table1[[#This Row],[Total_Maintenance_Cost_USD]]/Table1[[#This Row],[Labour_Hours]],0)</f>
        <v>105.12426035502959</v>
      </c>
    </row>
    <row r="14" spans="1:16">
      <c r="A14" t="s">
        <v>59</v>
      </c>
      <c r="B14" s="8">
        <v>45681</v>
      </c>
      <c r="C14" t="s">
        <v>53</v>
      </c>
      <c r="D14" t="s">
        <v>28</v>
      </c>
      <c r="E14" t="s">
        <v>33</v>
      </c>
      <c r="F14" t="s">
        <v>38</v>
      </c>
      <c r="G14" t="s">
        <v>20</v>
      </c>
      <c r="H14" t="s">
        <v>55</v>
      </c>
      <c r="I14">
        <v>0</v>
      </c>
      <c r="J14">
        <v>0.9</v>
      </c>
      <c r="K14">
        <v>0.71</v>
      </c>
      <c r="L14">
        <v>0.85</v>
      </c>
      <c r="M14">
        <v>320.07</v>
      </c>
      <c r="N14">
        <v>42.5</v>
      </c>
      <c r="O14">
        <f>SUM($M14:N14)</f>
        <v>362.57</v>
      </c>
      <c r="P14" s="3">
        <f>IFERROR(Table1[[#This Row],[Total_Maintenance_Cost_USD]]/Table1[[#This Row],[Labour_Hours]],0)</f>
        <v>426.5529411764706</v>
      </c>
    </row>
    <row r="15" spans="1:16">
      <c r="A15" t="s">
        <v>60</v>
      </c>
      <c r="B15" s="8">
        <v>45682</v>
      </c>
      <c r="C15" t="s">
        <v>61</v>
      </c>
      <c r="D15" t="s">
        <v>44</v>
      </c>
      <c r="E15" t="s">
        <v>47</v>
      </c>
      <c r="F15" t="s">
        <v>62</v>
      </c>
      <c r="G15" t="s">
        <v>63</v>
      </c>
      <c r="H15" t="s">
        <v>39</v>
      </c>
      <c r="I15">
        <v>1</v>
      </c>
      <c r="J15">
        <v>1.69</v>
      </c>
      <c r="K15">
        <v>2.0299999999999998</v>
      </c>
      <c r="L15">
        <v>2.29</v>
      </c>
      <c r="M15">
        <v>689.82</v>
      </c>
      <c r="N15">
        <v>103.05</v>
      </c>
      <c r="O15">
        <f>SUM($M15:N15)</f>
        <v>792.87</v>
      </c>
      <c r="P15" s="3">
        <f>IFERROR(Table1[[#This Row],[Total_Maintenance_Cost_USD]]/Table1[[#This Row],[Labour_Hours]],0)</f>
        <v>346.23144104803492</v>
      </c>
    </row>
    <row r="16" spans="1:16">
      <c r="A16" t="s">
        <v>64</v>
      </c>
      <c r="B16" s="8">
        <v>45685</v>
      </c>
      <c r="C16" t="s">
        <v>65</v>
      </c>
      <c r="D16" t="s">
        <v>28</v>
      </c>
      <c r="E16" t="s">
        <v>33</v>
      </c>
      <c r="F16" t="s">
        <v>38</v>
      </c>
      <c r="G16" t="s">
        <v>20</v>
      </c>
      <c r="H16" t="s">
        <v>25</v>
      </c>
      <c r="I16">
        <v>0</v>
      </c>
      <c r="J16">
        <v>1.07</v>
      </c>
      <c r="K16">
        <v>1.03</v>
      </c>
      <c r="L16">
        <v>1.29</v>
      </c>
      <c r="M16">
        <v>182.17</v>
      </c>
      <c r="N16">
        <v>64.5</v>
      </c>
      <c r="O16">
        <f>SUM($M16:N16)</f>
        <v>246.67</v>
      </c>
      <c r="P16" s="3">
        <f>IFERROR(Table1[[#This Row],[Total_Maintenance_Cost_USD]]/Table1[[#This Row],[Labour_Hours]],0)</f>
        <v>191.21705426356587</v>
      </c>
    </row>
    <row r="17" spans="1:16">
      <c r="A17" t="s">
        <v>66</v>
      </c>
      <c r="B17" s="8">
        <v>45686</v>
      </c>
      <c r="C17" t="s">
        <v>27</v>
      </c>
      <c r="D17" t="s">
        <v>44</v>
      </c>
      <c r="E17" t="s">
        <v>51</v>
      </c>
      <c r="F17" t="s">
        <v>30</v>
      </c>
      <c r="G17" t="s">
        <v>20</v>
      </c>
      <c r="H17" t="s">
        <v>45</v>
      </c>
      <c r="I17">
        <v>1</v>
      </c>
      <c r="J17">
        <v>1.17</v>
      </c>
      <c r="K17">
        <v>2.68</v>
      </c>
      <c r="L17">
        <v>2.89</v>
      </c>
      <c r="M17">
        <v>797.44</v>
      </c>
      <c r="N17">
        <v>101.15</v>
      </c>
      <c r="O17">
        <f>SUM($M17:N17)</f>
        <v>898.59</v>
      </c>
      <c r="P17" s="3">
        <f>IFERROR(Table1[[#This Row],[Total_Maintenance_Cost_USD]]/Table1[[#This Row],[Labour_Hours]],0)</f>
        <v>310.93079584775086</v>
      </c>
    </row>
    <row r="18" spans="1:16">
      <c r="A18" t="s">
        <v>67</v>
      </c>
      <c r="B18" s="8">
        <v>45686</v>
      </c>
      <c r="C18" t="s">
        <v>41</v>
      </c>
      <c r="D18" t="s">
        <v>17</v>
      </c>
      <c r="E18" t="s">
        <v>68</v>
      </c>
      <c r="F18" t="s">
        <v>19</v>
      </c>
      <c r="G18" t="s">
        <v>20</v>
      </c>
      <c r="H18" t="s">
        <v>69</v>
      </c>
      <c r="I18">
        <v>1</v>
      </c>
      <c r="J18">
        <v>4.9400000000000004</v>
      </c>
      <c r="K18">
        <v>9.5</v>
      </c>
      <c r="L18">
        <v>10.69</v>
      </c>
      <c r="M18">
        <v>2007.45</v>
      </c>
      <c r="N18">
        <v>534.5</v>
      </c>
      <c r="O18">
        <f>SUM($M18:N18)</f>
        <v>2541.9499999999998</v>
      </c>
      <c r="P18" s="3">
        <f>IFERROR(Table1[[#This Row],[Total_Maintenance_Cost_USD]]/Table1[[#This Row],[Labour_Hours]],0)</f>
        <v>237.78765201122545</v>
      </c>
    </row>
    <row r="19" spans="1:16">
      <c r="A19" t="s">
        <v>70</v>
      </c>
      <c r="B19" s="8">
        <v>45688</v>
      </c>
      <c r="C19" t="s">
        <v>49</v>
      </c>
      <c r="D19" t="s">
        <v>44</v>
      </c>
      <c r="E19" t="s">
        <v>47</v>
      </c>
      <c r="F19" t="s">
        <v>62</v>
      </c>
      <c r="G19" t="s">
        <v>63</v>
      </c>
      <c r="H19" t="s">
        <v>21</v>
      </c>
      <c r="I19">
        <v>1</v>
      </c>
      <c r="J19">
        <v>1.9</v>
      </c>
      <c r="K19">
        <v>3.46</v>
      </c>
      <c r="L19">
        <v>3.99</v>
      </c>
      <c r="M19">
        <v>561.72</v>
      </c>
      <c r="N19">
        <v>139.65</v>
      </c>
      <c r="O19">
        <f>SUM($M19:N19)</f>
        <v>701.37</v>
      </c>
      <c r="P19" s="3">
        <f>IFERROR(Table1[[#This Row],[Total_Maintenance_Cost_USD]]/Table1[[#This Row],[Labour_Hours]],0)</f>
        <v>175.78195488721803</v>
      </c>
    </row>
    <row r="20" spans="1:16">
      <c r="A20" t="s">
        <v>71</v>
      </c>
      <c r="B20" s="8">
        <v>45688</v>
      </c>
      <c r="C20" t="s">
        <v>72</v>
      </c>
      <c r="D20" t="s">
        <v>44</v>
      </c>
      <c r="E20" t="s">
        <v>51</v>
      </c>
      <c r="F20" t="s">
        <v>30</v>
      </c>
      <c r="G20" t="s">
        <v>20</v>
      </c>
      <c r="H20" t="s">
        <v>39</v>
      </c>
      <c r="I20">
        <v>1</v>
      </c>
      <c r="J20">
        <v>3.06</v>
      </c>
      <c r="K20">
        <v>2.84</v>
      </c>
      <c r="L20">
        <v>2.66</v>
      </c>
      <c r="M20">
        <v>780.31</v>
      </c>
      <c r="N20">
        <v>106.4</v>
      </c>
      <c r="O20">
        <f>SUM($M20:N20)</f>
        <v>886.70999999999992</v>
      </c>
      <c r="P20" s="3">
        <f>IFERROR(Table1[[#This Row],[Total_Maintenance_Cost_USD]]/Table1[[#This Row],[Labour_Hours]],0)</f>
        <v>333.34962406015035</v>
      </c>
    </row>
    <row r="21" spans="1:16">
      <c r="A21" t="s">
        <v>73</v>
      </c>
      <c r="B21" s="8">
        <v>45689</v>
      </c>
      <c r="C21" t="s">
        <v>72</v>
      </c>
      <c r="D21" t="s">
        <v>17</v>
      </c>
      <c r="E21" t="s">
        <v>18</v>
      </c>
      <c r="F21" t="s">
        <v>62</v>
      </c>
      <c r="G21" t="s">
        <v>20</v>
      </c>
      <c r="H21" t="s">
        <v>21</v>
      </c>
      <c r="I21">
        <v>1</v>
      </c>
      <c r="J21">
        <v>5.69</v>
      </c>
      <c r="K21">
        <v>7.06</v>
      </c>
      <c r="L21">
        <v>7.7</v>
      </c>
      <c r="M21">
        <v>1616.26</v>
      </c>
      <c r="N21">
        <v>308</v>
      </c>
      <c r="O21">
        <f>SUM($M21:N21)</f>
        <v>1924.26</v>
      </c>
      <c r="P21" s="3">
        <f>IFERROR(Table1[[#This Row],[Total_Maintenance_Cost_USD]]/Table1[[#This Row],[Labour_Hours]],0)</f>
        <v>249.9038961038961</v>
      </c>
    </row>
    <row r="22" spans="1:16">
      <c r="A22" t="s">
        <v>74</v>
      </c>
      <c r="B22" s="8">
        <v>45689</v>
      </c>
      <c r="C22" t="s">
        <v>16</v>
      </c>
      <c r="D22" t="s">
        <v>17</v>
      </c>
      <c r="E22" t="s">
        <v>68</v>
      </c>
      <c r="F22" t="s">
        <v>62</v>
      </c>
      <c r="G22" t="s">
        <v>20</v>
      </c>
      <c r="H22" t="s">
        <v>34</v>
      </c>
      <c r="I22">
        <v>1</v>
      </c>
      <c r="J22">
        <v>13.47</v>
      </c>
      <c r="K22">
        <v>15.33</v>
      </c>
      <c r="L22">
        <v>17.57</v>
      </c>
      <c r="M22">
        <v>898.44</v>
      </c>
      <c r="N22">
        <v>614.95000000000005</v>
      </c>
      <c r="O22">
        <f>SUM($M22:N22)</f>
        <v>1513.39</v>
      </c>
      <c r="P22" s="3">
        <f>IFERROR(Table1[[#This Row],[Total_Maintenance_Cost_USD]]/Table1[[#This Row],[Labour_Hours]],0)</f>
        <v>86.134889015367108</v>
      </c>
    </row>
    <row r="23" spans="1:16">
      <c r="A23" t="s">
        <v>75</v>
      </c>
      <c r="B23" s="8">
        <v>45690</v>
      </c>
      <c r="C23" t="s">
        <v>49</v>
      </c>
      <c r="D23" t="s">
        <v>28</v>
      </c>
      <c r="E23" t="s">
        <v>37</v>
      </c>
      <c r="F23" t="s">
        <v>38</v>
      </c>
      <c r="G23" t="s">
        <v>20</v>
      </c>
      <c r="H23" t="s">
        <v>69</v>
      </c>
      <c r="I23">
        <v>0</v>
      </c>
      <c r="J23">
        <v>0.64</v>
      </c>
      <c r="K23">
        <v>1.37</v>
      </c>
      <c r="L23">
        <v>1.82</v>
      </c>
      <c r="M23">
        <v>234.4</v>
      </c>
      <c r="N23">
        <v>72.8</v>
      </c>
      <c r="O23">
        <f>SUM($M23:N23)</f>
        <v>307.2</v>
      </c>
      <c r="P23" s="3">
        <f>IFERROR(Table1[[#This Row],[Total_Maintenance_Cost_USD]]/Table1[[#This Row],[Labour_Hours]],0)</f>
        <v>168.79120879120879</v>
      </c>
    </row>
    <row r="24" spans="1:16">
      <c r="A24" t="s">
        <v>76</v>
      </c>
      <c r="B24" s="8">
        <v>45690</v>
      </c>
      <c r="C24" t="s">
        <v>72</v>
      </c>
      <c r="D24" t="s">
        <v>28</v>
      </c>
      <c r="E24" t="s">
        <v>42</v>
      </c>
      <c r="F24" t="s">
        <v>38</v>
      </c>
      <c r="G24" t="s">
        <v>20</v>
      </c>
      <c r="H24" t="s">
        <v>34</v>
      </c>
      <c r="I24">
        <v>0</v>
      </c>
      <c r="J24">
        <v>0</v>
      </c>
      <c r="K24">
        <v>0.41</v>
      </c>
      <c r="L24">
        <v>0.5</v>
      </c>
      <c r="M24">
        <v>263.32</v>
      </c>
      <c r="N24">
        <v>22.5</v>
      </c>
      <c r="O24">
        <f>SUM($M24:N24)</f>
        <v>285.82</v>
      </c>
      <c r="P24" s="3">
        <f>IFERROR(Table1[[#This Row],[Total_Maintenance_Cost_USD]]/Table1[[#This Row],[Labour_Hours]],0)</f>
        <v>571.64</v>
      </c>
    </row>
    <row r="25" spans="1:16">
      <c r="A25" t="s">
        <v>77</v>
      </c>
      <c r="B25" s="8">
        <v>45691</v>
      </c>
      <c r="C25" t="s">
        <v>16</v>
      </c>
      <c r="D25" t="s">
        <v>28</v>
      </c>
      <c r="E25" t="s">
        <v>29</v>
      </c>
      <c r="F25" t="s">
        <v>38</v>
      </c>
      <c r="G25" t="s">
        <v>20</v>
      </c>
      <c r="H25" t="s">
        <v>45</v>
      </c>
      <c r="I25">
        <v>0</v>
      </c>
      <c r="J25">
        <v>0</v>
      </c>
      <c r="K25">
        <v>2.27</v>
      </c>
      <c r="L25">
        <v>2.14</v>
      </c>
      <c r="M25">
        <v>226.23</v>
      </c>
      <c r="N25">
        <v>96.3</v>
      </c>
      <c r="O25">
        <f>SUM($M25:N25)</f>
        <v>322.52999999999997</v>
      </c>
      <c r="P25" s="3">
        <f>IFERROR(Table1[[#This Row],[Total_Maintenance_Cost_USD]]/Table1[[#This Row],[Labour_Hours]],0)</f>
        <v>150.71495327102801</v>
      </c>
    </row>
    <row r="26" spans="1:16">
      <c r="A26" t="s">
        <v>78</v>
      </c>
      <c r="B26" s="8">
        <v>45691</v>
      </c>
      <c r="C26" t="s">
        <v>79</v>
      </c>
      <c r="D26" t="s">
        <v>44</v>
      </c>
      <c r="E26" t="s">
        <v>54</v>
      </c>
      <c r="F26" t="s">
        <v>30</v>
      </c>
      <c r="G26" t="s">
        <v>57</v>
      </c>
      <c r="H26" t="s">
        <v>25</v>
      </c>
      <c r="I26">
        <v>1</v>
      </c>
      <c r="J26">
        <v>1.55</v>
      </c>
      <c r="K26">
        <v>4.72</v>
      </c>
      <c r="L26">
        <v>5.67</v>
      </c>
      <c r="M26">
        <v>559.39</v>
      </c>
      <c r="N26">
        <v>198.45</v>
      </c>
      <c r="O26">
        <f>SUM($M26:N26)</f>
        <v>757.83999999999992</v>
      </c>
      <c r="P26" s="3">
        <f>IFERROR(Table1[[#This Row],[Total_Maintenance_Cost_USD]]/Table1[[#This Row],[Labour_Hours]],0)</f>
        <v>133.65784832451499</v>
      </c>
    </row>
    <row r="27" spans="1:16">
      <c r="A27" t="s">
        <v>80</v>
      </c>
      <c r="B27" s="8">
        <v>45692</v>
      </c>
      <c r="C27" t="s">
        <v>23</v>
      </c>
      <c r="D27" t="s">
        <v>28</v>
      </c>
      <c r="E27" t="s">
        <v>29</v>
      </c>
      <c r="F27" t="s">
        <v>30</v>
      </c>
      <c r="G27" t="s">
        <v>20</v>
      </c>
      <c r="H27" t="s">
        <v>58</v>
      </c>
      <c r="I27">
        <v>0</v>
      </c>
      <c r="J27">
        <v>0.31</v>
      </c>
      <c r="K27">
        <v>0.35</v>
      </c>
      <c r="L27">
        <v>0.5</v>
      </c>
      <c r="M27">
        <v>203.28</v>
      </c>
      <c r="N27">
        <v>20</v>
      </c>
      <c r="O27">
        <f>SUM($M27:N27)</f>
        <v>223.28</v>
      </c>
      <c r="P27" s="3">
        <f>IFERROR(Table1[[#This Row],[Total_Maintenance_Cost_USD]]/Table1[[#This Row],[Labour_Hours]],0)</f>
        <v>446.56</v>
      </c>
    </row>
    <row r="28" spans="1:16">
      <c r="A28" t="s">
        <v>81</v>
      </c>
      <c r="B28" s="8">
        <v>45692</v>
      </c>
      <c r="C28" t="s">
        <v>27</v>
      </c>
      <c r="D28" t="s">
        <v>44</v>
      </c>
      <c r="E28" t="s">
        <v>24</v>
      </c>
      <c r="F28" t="s">
        <v>62</v>
      </c>
      <c r="G28" t="s">
        <v>20</v>
      </c>
      <c r="H28" t="s">
        <v>34</v>
      </c>
      <c r="I28">
        <v>1</v>
      </c>
      <c r="J28">
        <v>4.3099999999999996</v>
      </c>
      <c r="K28">
        <v>4.45</v>
      </c>
      <c r="L28">
        <v>5.62</v>
      </c>
      <c r="M28">
        <v>1086.1199999999999</v>
      </c>
      <c r="N28">
        <v>252.9</v>
      </c>
      <c r="O28">
        <f>SUM($M28:N28)</f>
        <v>1339.02</v>
      </c>
      <c r="P28" s="3">
        <f>IFERROR(Table1[[#This Row],[Total_Maintenance_Cost_USD]]/Table1[[#This Row],[Labour_Hours]],0)</f>
        <v>238.25978647686833</v>
      </c>
    </row>
    <row r="29" spans="1:16">
      <c r="A29" t="s">
        <v>82</v>
      </c>
      <c r="B29" s="8">
        <v>45693</v>
      </c>
      <c r="C29" t="s">
        <v>49</v>
      </c>
      <c r="D29" t="s">
        <v>44</v>
      </c>
      <c r="E29" t="s">
        <v>54</v>
      </c>
      <c r="F29" t="s">
        <v>30</v>
      </c>
      <c r="G29" t="s">
        <v>20</v>
      </c>
      <c r="H29" t="s">
        <v>45</v>
      </c>
      <c r="I29">
        <v>1</v>
      </c>
      <c r="J29">
        <v>2.6</v>
      </c>
      <c r="K29">
        <v>1.6</v>
      </c>
      <c r="L29">
        <v>1.33</v>
      </c>
      <c r="M29">
        <v>643.45000000000005</v>
      </c>
      <c r="N29">
        <v>66.5</v>
      </c>
      <c r="O29">
        <f>SUM($M29:N29)</f>
        <v>709.95</v>
      </c>
      <c r="P29" s="3">
        <f>IFERROR(Table1[[#This Row],[Total_Maintenance_Cost_USD]]/Table1[[#This Row],[Labour_Hours]],0)</f>
        <v>533.79699248120301</v>
      </c>
    </row>
    <row r="30" spans="1:16">
      <c r="A30" t="s">
        <v>83</v>
      </c>
      <c r="B30" s="8">
        <v>45693</v>
      </c>
      <c r="C30" t="s">
        <v>53</v>
      </c>
      <c r="D30" t="s">
        <v>17</v>
      </c>
      <c r="E30" t="s">
        <v>54</v>
      </c>
      <c r="F30" t="s">
        <v>19</v>
      </c>
      <c r="G30" t="s">
        <v>20</v>
      </c>
      <c r="H30" t="s">
        <v>21</v>
      </c>
      <c r="I30">
        <v>2</v>
      </c>
      <c r="J30">
        <v>6.44</v>
      </c>
      <c r="K30">
        <v>4.53</v>
      </c>
      <c r="L30">
        <v>4.21</v>
      </c>
      <c r="M30">
        <v>3035.81</v>
      </c>
      <c r="N30">
        <v>147.35</v>
      </c>
      <c r="O30">
        <f>SUM($M30:N30)</f>
        <v>3183.16</v>
      </c>
      <c r="P30" s="3">
        <f>IFERROR(Table1[[#This Row],[Total_Maintenance_Cost_USD]]/Table1[[#This Row],[Labour_Hours]],0)</f>
        <v>756.09501187648448</v>
      </c>
    </row>
    <row r="31" spans="1:16">
      <c r="A31" t="s">
        <v>84</v>
      </c>
      <c r="B31" s="8">
        <v>45695</v>
      </c>
      <c r="C31" t="s">
        <v>72</v>
      </c>
      <c r="D31" t="s">
        <v>44</v>
      </c>
      <c r="E31" t="s">
        <v>68</v>
      </c>
      <c r="F31" t="s">
        <v>30</v>
      </c>
      <c r="G31" t="s">
        <v>20</v>
      </c>
      <c r="H31" t="s">
        <v>25</v>
      </c>
      <c r="I31">
        <v>1</v>
      </c>
      <c r="J31">
        <v>1.45</v>
      </c>
      <c r="K31">
        <v>2.29</v>
      </c>
      <c r="L31">
        <v>2.54</v>
      </c>
      <c r="M31">
        <v>468.28</v>
      </c>
      <c r="N31">
        <v>114.3</v>
      </c>
      <c r="O31">
        <f>SUM($M31:N31)</f>
        <v>582.57999999999993</v>
      </c>
      <c r="P31" s="3">
        <f>IFERROR(Table1[[#This Row],[Total_Maintenance_Cost_USD]]/Table1[[#This Row],[Labour_Hours]],0)</f>
        <v>229.36220472440942</v>
      </c>
    </row>
    <row r="32" spans="1:16">
      <c r="A32" t="s">
        <v>85</v>
      </c>
      <c r="B32" s="8">
        <v>45696</v>
      </c>
      <c r="C32" t="s">
        <v>65</v>
      </c>
      <c r="D32" t="s">
        <v>44</v>
      </c>
      <c r="E32" t="s">
        <v>86</v>
      </c>
      <c r="F32" t="s">
        <v>30</v>
      </c>
      <c r="G32" t="s">
        <v>57</v>
      </c>
      <c r="H32" t="s">
        <v>55</v>
      </c>
      <c r="I32">
        <v>1</v>
      </c>
      <c r="J32">
        <v>2.37</v>
      </c>
      <c r="K32">
        <v>2.4900000000000002</v>
      </c>
      <c r="L32">
        <v>2.95</v>
      </c>
      <c r="M32">
        <v>1056.27</v>
      </c>
      <c r="N32">
        <v>118</v>
      </c>
      <c r="O32">
        <f>SUM($M32:N32)</f>
        <v>1174.27</v>
      </c>
      <c r="P32" s="3">
        <f>IFERROR(Table1[[#This Row],[Total_Maintenance_Cost_USD]]/Table1[[#This Row],[Labour_Hours]],0)</f>
        <v>398.05762711864406</v>
      </c>
    </row>
    <row r="33" spans="1:16">
      <c r="A33" t="s">
        <v>87</v>
      </c>
      <c r="B33" s="8">
        <v>45699</v>
      </c>
      <c r="C33" t="s">
        <v>32</v>
      </c>
      <c r="D33" t="s">
        <v>44</v>
      </c>
      <c r="E33" t="s">
        <v>24</v>
      </c>
      <c r="F33" t="s">
        <v>30</v>
      </c>
      <c r="G33" t="s">
        <v>20</v>
      </c>
      <c r="H33" t="s">
        <v>21</v>
      </c>
      <c r="I33">
        <v>1</v>
      </c>
      <c r="J33">
        <v>7.45</v>
      </c>
      <c r="K33">
        <v>7.97</v>
      </c>
      <c r="L33">
        <v>6.41</v>
      </c>
      <c r="M33">
        <v>658.86</v>
      </c>
      <c r="N33">
        <v>288.45</v>
      </c>
      <c r="O33">
        <f>SUM($M33:N33)</f>
        <v>947.31</v>
      </c>
      <c r="P33" s="3">
        <f>IFERROR(Table1[[#This Row],[Total_Maintenance_Cost_USD]]/Table1[[#This Row],[Labour_Hours]],0)</f>
        <v>147.78627145085801</v>
      </c>
    </row>
    <row r="34" spans="1:16">
      <c r="A34" t="s">
        <v>88</v>
      </c>
      <c r="B34" s="8">
        <v>45701</v>
      </c>
      <c r="C34" t="s">
        <v>16</v>
      </c>
      <c r="D34" t="s">
        <v>44</v>
      </c>
      <c r="E34" t="s">
        <v>18</v>
      </c>
      <c r="F34" t="s">
        <v>30</v>
      </c>
      <c r="G34" t="s">
        <v>20</v>
      </c>
      <c r="H34" t="s">
        <v>34</v>
      </c>
      <c r="I34">
        <v>1</v>
      </c>
      <c r="J34">
        <v>6.23</v>
      </c>
      <c r="K34">
        <v>0.68</v>
      </c>
      <c r="L34">
        <v>0.8</v>
      </c>
      <c r="M34">
        <v>908.98</v>
      </c>
      <c r="N34">
        <v>40</v>
      </c>
      <c r="O34">
        <f>SUM($M34:N34)</f>
        <v>948.98</v>
      </c>
      <c r="P34" s="3">
        <f>IFERROR(Table1[[#This Row],[Total_Maintenance_Cost_USD]]/Table1[[#This Row],[Labour_Hours]],0)</f>
        <v>1186.2249999999999</v>
      </c>
    </row>
    <row r="35" spans="1:16">
      <c r="A35" t="s">
        <v>89</v>
      </c>
      <c r="B35" s="8">
        <v>45704</v>
      </c>
      <c r="C35" t="s">
        <v>72</v>
      </c>
      <c r="D35" t="s">
        <v>17</v>
      </c>
      <c r="E35" t="s">
        <v>24</v>
      </c>
      <c r="F35" t="s">
        <v>62</v>
      </c>
      <c r="G35" t="s">
        <v>20</v>
      </c>
      <c r="H35" t="s">
        <v>21</v>
      </c>
      <c r="I35">
        <v>1</v>
      </c>
      <c r="J35">
        <v>2.7</v>
      </c>
      <c r="K35">
        <v>7.09</v>
      </c>
      <c r="L35">
        <v>6.41</v>
      </c>
      <c r="M35">
        <v>1278.02</v>
      </c>
      <c r="N35">
        <v>288.45</v>
      </c>
      <c r="O35">
        <f>SUM($M35:N35)</f>
        <v>1566.47</v>
      </c>
      <c r="P35" s="3">
        <f>IFERROR(Table1[[#This Row],[Total_Maintenance_Cost_USD]]/Table1[[#This Row],[Labour_Hours]],0)</f>
        <v>244.37909516380654</v>
      </c>
    </row>
    <row r="36" spans="1:16">
      <c r="A36" t="s">
        <v>90</v>
      </c>
      <c r="B36" s="8">
        <v>45704</v>
      </c>
      <c r="C36" t="s">
        <v>41</v>
      </c>
      <c r="D36" t="s">
        <v>17</v>
      </c>
      <c r="E36" t="s">
        <v>51</v>
      </c>
      <c r="F36" t="s">
        <v>19</v>
      </c>
      <c r="G36" t="s">
        <v>20</v>
      </c>
      <c r="H36" t="s">
        <v>21</v>
      </c>
      <c r="I36">
        <v>1</v>
      </c>
      <c r="J36">
        <v>17.27</v>
      </c>
      <c r="K36">
        <v>8.86</v>
      </c>
      <c r="L36">
        <v>7.69</v>
      </c>
      <c r="M36">
        <v>1311.82</v>
      </c>
      <c r="N36">
        <v>307.60000000000002</v>
      </c>
      <c r="O36">
        <f>SUM($M36:N36)</f>
        <v>1619.42</v>
      </c>
      <c r="P36" s="3">
        <f>IFERROR(Table1[[#This Row],[Total_Maintenance_Cost_USD]]/Table1[[#This Row],[Labour_Hours]],0)</f>
        <v>210.58777633289986</v>
      </c>
    </row>
    <row r="37" spans="1:16">
      <c r="A37" t="s">
        <v>91</v>
      </c>
      <c r="B37" s="8">
        <v>45704</v>
      </c>
      <c r="C37" t="s">
        <v>27</v>
      </c>
      <c r="D37" t="s">
        <v>28</v>
      </c>
      <c r="E37" t="s">
        <v>33</v>
      </c>
      <c r="F37" t="s">
        <v>38</v>
      </c>
      <c r="G37" t="s">
        <v>20</v>
      </c>
      <c r="H37" t="s">
        <v>25</v>
      </c>
      <c r="I37">
        <v>0</v>
      </c>
      <c r="J37">
        <v>0.44</v>
      </c>
      <c r="K37">
        <v>1.79</v>
      </c>
      <c r="L37">
        <v>2.2400000000000002</v>
      </c>
      <c r="M37">
        <v>124.08</v>
      </c>
      <c r="N37">
        <v>89.6</v>
      </c>
      <c r="O37">
        <f>SUM($M37:N37)</f>
        <v>213.68</v>
      </c>
      <c r="P37" s="3">
        <f>IFERROR(Table1[[#This Row],[Total_Maintenance_Cost_USD]]/Table1[[#This Row],[Labour_Hours]],0)</f>
        <v>95.392857142857139</v>
      </c>
    </row>
    <row r="38" spans="1:16">
      <c r="A38" t="s">
        <v>92</v>
      </c>
      <c r="B38" s="8">
        <v>45705</v>
      </c>
      <c r="C38" t="s">
        <v>36</v>
      </c>
      <c r="D38" t="s">
        <v>44</v>
      </c>
      <c r="E38" t="s">
        <v>68</v>
      </c>
      <c r="F38" t="s">
        <v>30</v>
      </c>
      <c r="G38" t="s">
        <v>20</v>
      </c>
      <c r="H38" t="s">
        <v>58</v>
      </c>
      <c r="I38">
        <v>1</v>
      </c>
      <c r="J38">
        <v>1.78</v>
      </c>
      <c r="K38">
        <v>0.67</v>
      </c>
      <c r="L38">
        <v>0.67</v>
      </c>
      <c r="M38">
        <v>555.17999999999995</v>
      </c>
      <c r="N38">
        <v>26.8</v>
      </c>
      <c r="O38">
        <f>SUM($M38:N38)</f>
        <v>581.9799999999999</v>
      </c>
      <c r="P38" s="3">
        <f>IFERROR(Table1[[#This Row],[Total_Maintenance_Cost_USD]]/Table1[[#This Row],[Labour_Hours]],0)</f>
        <v>868.62686567164155</v>
      </c>
    </row>
    <row r="39" spans="1:16">
      <c r="A39" t="s">
        <v>93</v>
      </c>
      <c r="B39" s="8">
        <v>45709</v>
      </c>
      <c r="C39" t="s">
        <v>53</v>
      </c>
      <c r="D39" t="s">
        <v>28</v>
      </c>
      <c r="E39" t="s">
        <v>33</v>
      </c>
      <c r="F39" t="s">
        <v>30</v>
      </c>
      <c r="G39" t="s">
        <v>20</v>
      </c>
      <c r="H39" t="s">
        <v>45</v>
      </c>
      <c r="I39">
        <v>0</v>
      </c>
      <c r="J39">
        <v>0.36</v>
      </c>
      <c r="K39">
        <v>1.81</v>
      </c>
      <c r="L39">
        <v>1.72</v>
      </c>
      <c r="M39">
        <v>195.7</v>
      </c>
      <c r="N39">
        <v>60.2</v>
      </c>
      <c r="O39">
        <f>SUM($M39:N39)</f>
        <v>255.89999999999998</v>
      </c>
      <c r="P39" s="3">
        <f>IFERROR(Table1[[#This Row],[Total_Maintenance_Cost_USD]]/Table1[[#This Row],[Labour_Hours]],0)</f>
        <v>148.77906976744185</v>
      </c>
    </row>
    <row r="40" spans="1:16">
      <c r="A40" t="s">
        <v>94</v>
      </c>
      <c r="B40" s="8">
        <v>45709</v>
      </c>
      <c r="C40" t="s">
        <v>61</v>
      </c>
      <c r="D40" t="s">
        <v>28</v>
      </c>
      <c r="E40" t="s">
        <v>42</v>
      </c>
      <c r="F40" t="s">
        <v>30</v>
      </c>
      <c r="G40" t="s">
        <v>20</v>
      </c>
      <c r="H40" t="s">
        <v>58</v>
      </c>
      <c r="I40">
        <v>0</v>
      </c>
      <c r="J40">
        <v>0.73</v>
      </c>
      <c r="K40">
        <v>1.43</v>
      </c>
      <c r="L40">
        <v>1.33</v>
      </c>
      <c r="M40">
        <v>145.46</v>
      </c>
      <c r="N40">
        <v>66.5</v>
      </c>
      <c r="O40">
        <f>SUM($M40:N40)</f>
        <v>211.96</v>
      </c>
      <c r="P40" s="3">
        <f>IFERROR(Table1[[#This Row],[Total_Maintenance_Cost_USD]]/Table1[[#This Row],[Labour_Hours]],0)</f>
        <v>159.36842105263159</v>
      </c>
    </row>
    <row r="41" spans="1:16">
      <c r="A41" t="s">
        <v>95</v>
      </c>
      <c r="B41" s="8">
        <v>45709</v>
      </c>
      <c r="C41" t="s">
        <v>41</v>
      </c>
      <c r="D41" t="s">
        <v>28</v>
      </c>
      <c r="E41" t="s">
        <v>29</v>
      </c>
      <c r="F41" t="s">
        <v>38</v>
      </c>
      <c r="G41" t="s">
        <v>20</v>
      </c>
      <c r="H41" t="s">
        <v>25</v>
      </c>
      <c r="I41">
        <v>0</v>
      </c>
      <c r="J41">
        <v>0.52</v>
      </c>
      <c r="K41">
        <v>1.65</v>
      </c>
      <c r="L41">
        <v>2.12</v>
      </c>
      <c r="M41">
        <v>179.29</v>
      </c>
      <c r="N41">
        <v>84.8</v>
      </c>
      <c r="O41">
        <f>SUM($M41:N41)</f>
        <v>264.08999999999997</v>
      </c>
      <c r="P41" s="3">
        <f>IFERROR(Table1[[#This Row],[Total_Maintenance_Cost_USD]]/Table1[[#This Row],[Labour_Hours]],0)</f>
        <v>124.57075471698111</v>
      </c>
    </row>
    <row r="42" spans="1:16">
      <c r="A42" t="s">
        <v>96</v>
      </c>
      <c r="B42" s="8">
        <v>45710</v>
      </c>
      <c r="C42" t="s">
        <v>65</v>
      </c>
      <c r="D42" t="s">
        <v>44</v>
      </c>
      <c r="E42" t="s">
        <v>47</v>
      </c>
      <c r="F42" t="s">
        <v>30</v>
      </c>
      <c r="G42" t="s">
        <v>20</v>
      </c>
      <c r="H42" t="s">
        <v>21</v>
      </c>
      <c r="I42">
        <v>1</v>
      </c>
      <c r="J42">
        <v>5.09</v>
      </c>
      <c r="K42">
        <v>4.0199999999999996</v>
      </c>
      <c r="L42">
        <v>3.69</v>
      </c>
      <c r="M42">
        <v>597.47</v>
      </c>
      <c r="N42">
        <v>184.5</v>
      </c>
      <c r="O42">
        <f>SUM($M42:N42)</f>
        <v>781.97</v>
      </c>
      <c r="P42" s="3">
        <f>IFERROR(Table1[[#This Row],[Total_Maintenance_Cost_USD]]/Table1[[#This Row],[Labour_Hours]],0)</f>
        <v>211.91598915989161</v>
      </c>
    </row>
    <row r="43" spans="1:16">
      <c r="A43" t="s">
        <v>97</v>
      </c>
      <c r="B43" s="8">
        <v>45713</v>
      </c>
      <c r="C43" t="s">
        <v>32</v>
      </c>
      <c r="D43" t="s">
        <v>28</v>
      </c>
      <c r="E43" t="s">
        <v>33</v>
      </c>
      <c r="F43" t="s">
        <v>30</v>
      </c>
      <c r="G43" t="s">
        <v>63</v>
      </c>
      <c r="H43" t="s">
        <v>45</v>
      </c>
      <c r="I43">
        <v>0</v>
      </c>
      <c r="J43">
        <v>0</v>
      </c>
      <c r="K43">
        <v>1.54</v>
      </c>
      <c r="L43">
        <v>1.89</v>
      </c>
      <c r="M43">
        <v>171.47</v>
      </c>
      <c r="N43">
        <v>85.05</v>
      </c>
      <c r="O43">
        <f>SUM($M43:N43)</f>
        <v>256.52</v>
      </c>
      <c r="P43" s="3">
        <f>IFERROR(Table1[[#This Row],[Total_Maintenance_Cost_USD]]/Table1[[#This Row],[Labour_Hours]],0)</f>
        <v>135.72486772486772</v>
      </c>
    </row>
    <row r="44" spans="1:16">
      <c r="A44" t="s">
        <v>98</v>
      </c>
      <c r="B44" s="8">
        <v>45713</v>
      </c>
      <c r="C44" t="s">
        <v>16</v>
      </c>
      <c r="D44" t="s">
        <v>17</v>
      </c>
      <c r="E44" t="s">
        <v>86</v>
      </c>
      <c r="F44" t="s">
        <v>19</v>
      </c>
      <c r="G44" t="s">
        <v>57</v>
      </c>
      <c r="H44" t="s">
        <v>34</v>
      </c>
      <c r="I44">
        <v>1</v>
      </c>
      <c r="J44">
        <v>16</v>
      </c>
      <c r="K44">
        <v>7.66</v>
      </c>
      <c r="L44">
        <v>8.5399999999999991</v>
      </c>
      <c r="M44">
        <v>1931.58</v>
      </c>
      <c r="N44">
        <v>384.3</v>
      </c>
      <c r="O44">
        <f>SUM($M44:N44)</f>
        <v>2315.88</v>
      </c>
      <c r="P44" s="3">
        <f>IFERROR(Table1[[#This Row],[Total_Maintenance_Cost_USD]]/Table1[[#This Row],[Labour_Hours]],0)</f>
        <v>271.18032786885249</v>
      </c>
    </row>
    <row r="45" spans="1:16">
      <c r="A45" t="s">
        <v>99</v>
      </c>
      <c r="B45" s="8">
        <v>45714</v>
      </c>
      <c r="C45" t="s">
        <v>53</v>
      </c>
      <c r="D45" t="s">
        <v>17</v>
      </c>
      <c r="E45" t="s">
        <v>51</v>
      </c>
      <c r="F45" t="s">
        <v>62</v>
      </c>
      <c r="G45" t="s">
        <v>20</v>
      </c>
      <c r="H45" t="s">
        <v>25</v>
      </c>
      <c r="I45">
        <v>1</v>
      </c>
      <c r="J45">
        <v>8.4499999999999993</v>
      </c>
      <c r="K45">
        <v>7.79</v>
      </c>
      <c r="L45">
        <v>6.52</v>
      </c>
      <c r="M45">
        <v>1331.32</v>
      </c>
      <c r="N45">
        <v>326</v>
      </c>
      <c r="O45">
        <f>SUM($M45:N45)</f>
        <v>1657.32</v>
      </c>
      <c r="P45" s="3">
        <f>IFERROR(Table1[[#This Row],[Total_Maintenance_Cost_USD]]/Table1[[#This Row],[Labour_Hours]],0)</f>
        <v>254.19018404907976</v>
      </c>
    </row>
    <row r="46" spans="1:16">
      <c r="A46" t="s">
        <v>100</v>
      </c>
      <c r="B46" s="8">
        <v>45716</v>
      </c>
      <c r="C46" t="s">
        <v>36</v>
      </c>
      <c r="D46" t="s">
        <v>28</v>
      </c>
      <c r="E46" t="s">
        <v>33</v>
      </c>
      <c r="F46" t="s">
        <v>30</v>
      </c>
      <c r="G46" t="s">
        <v>20</v>
      </c>
      <c r="H46" t="s">
        <v>58</v>
      </c>
      <c r="I46">
        <v>0</v>
      </c>
      <c r="J46">
        <v>0.04</v>
      </c>
      <c r="K46">
        <v>0.93</v>
      </c>
      <c r="L46">
        <v>1.19</v>
      </c>
      <c r="M46">
        <v>201.27</v>
      </c>
      <c r="N46">
        <v>53.55</v>
      </c>
      <c r="O46">
        <f>SUM($M46:N46)</f>
        <v>254.82</v>
      </c>
      <c r="P46" s="3">
        <f>IFERROR(Table1[[#This Row],[Total_Maintenance_Cost_USD]]/Table1[[#This Row],[Labour_Hours]],0)</f>
        <v>214.1344537815126</v>
      </c>
    </row>
    <row r="47" spans="1:16">
      <c r="A47" t="s">
        <v>101</v>
      </c>
      <c r="B47" s="8">
        <v>45716</v>
      </c>
      <c r="C47" t="s">
        <v>61</v>
      </c>
      <c r="D47" t="s">
        <v>28</v>
      </c>
      <c r="E47" t="s">
        <v>42</v>
      </c>
      <c r="F47" t="s">
        <v>38</v>
      </c>
      <c r="G47" t="s">
        <v>20</v>
      </c>
      <c r="H47" t="s">
        <v>45</v>
      </c>
      <c r="I47">
        <v>0</v>
      </c>
      <c r="J47">
        <v>1.01</v>
      </c>
      <c r="K47">
        <v>1.28</v>
      </c>
      <c r="L47">
        <v>1.41</v>
      </c>
      <c r="M47">
        <v>142.22999999999999</v>
      </c>
      <c r="N47">
        <v>56.4</v>
      </c>
      <c r="O47">
        <f>SUM($M47:N47)</f>
        <v>198.63</v>
      </c>
      <c r="P47" s="3">
        <f>IFERROR(Table1[[#This Row],[Total_Maintenance_Cost_USD]]/Table1[[#This Row],[Labour_Hours]],0)</f>
        <v>140.87234042553192</v>
      </c>
    </row>
    <row r="48" spans="1:16">
      <c r="A48" t="s">
        <v>102</v>
      </c>
      <c r="B48" s="8">
        <v>45716</v>
      </c>
      <c r="C48" t="s">
        <v>79</v>
      </c>
      <c r="D48" t="s">
        <v>28</v>
      </c>
      <c r="E48" t="s">
        <v>42</v>
      </c>
      <c r="F48" t="s">
        <v>38</v>
      </c>
      <c r="G48" t="s">
        <v>63</v>
      </c>
      <c r="H48" t="s">
        <v>55</v>
      </c>
      <c r="I48">
        <v>0</v>
      </c>
      <c r="J48">
        <v>0.43</v>
      </c>
      <c r="K48">
        <v>0.66</v>
      </c>
      <c r="L48">
        <v>0.59</v>
      </c>
      <c r="M48">
        <v>224.06</v>
      </c>
      <c r="N48">
        <v>26.55</v>
      </c>
      <c r="O48">
        <f>SUM($M48:N48)</f>
        <v>250.61</v>
      </c>
      <c r="P48" s="3">
        <f>IFERROR(Table1[[#This Row],[Total_Maintenance_Cost_USD]]/Table1[[#This Row],[Labour_Hours]],0)</f>
        <v>424.76271186440681</v>
      </c>
    </row>
    <row r="49" spans="1:16">
      <c r="A49" t="s">
        <v>103</v>
      </c>
      <c r="B49" s="8">
        <v>45718</v>
      </c>
      <c r="C49" t="s">
        <v>36</v>
      </c>
      <c r="D49" t="s">
        <v>44</v>
      </c>
      <c r="E49" t="s">
        <v>86</v>
      </c>
      <c r="F49" t="s">
        <v>62</v>
      </c>
      <c r="G49" t="s">
        <v>20</v>
      </c>
      <c r="H49" t="s">
        <v>34</v>
      </c>
      <c r="I49">
        <v>2</v>
      </c>
      <c r="J49">
        <v>2.5099999999999998</v>
      </c>
      <c r="K49">
        <v>3.39</v>
      </c>
      <c r="L49">
        <v>3.53</v>
      </c>
      <c r="M49">
        <v>950.28</v>
      </c>
      <c r="N49">
        <v>123.55</v>
      </c>
      <c r="O49">
        <f>SUM($M49:N49)</f>
        <v>1073.83</v>
      </c>
      <c r="P49" s="3">
        <f>IFERROR(Table1[[#This Row],[Total_Maintenance_Cost_USD]]/Table1[[#This Row],[Labour_Hours]],0)</f>
        <v>304.20113314447593</v>
      </c>
    </row>
    <row r="50" spans="1:16">
      <c r="A50" t="s">
        <v>104</v>
      </c>
      <c r="B50" s="8">
        <v>45718</v>
      </c>
      <c r="C50" t="s">
        <v>53</v>
      </c>
      <c r="D50" t="s">
        <v>28</v>
      </c>
      <c r="E50" t="s">
        <v>33</v>
      </c>
      <c r="F50" t="s">
        <v>30</v>
      </c>
      <c r="G50" t="s">
        <v>20</v>
      </c>
      <c r="H50" t="s">
        <v>58</v>
      </c>
      <c r="I50">
        <v>0</v>
      </c>
      <c r="J50">
        <v>1.26</v>
      </c>
      <c r="K50">
        <v>0.93</v>
      </c>
      <c r="L50">
        <v>1.1100000000000001</v>
      </c>
      <c r="M50">
        <v>207.09</v>
      </c>
      <c r="N50">
        <v>44.4</v>
      </c>
      <c r="O50">
        <f>SUM($M50:N50)</f>
        <v>251.49</v>
      </c>
      <c r="P50" s="3">
        <f>IFERROR(Table1[[#This Row],[Total_Maintenance_Cost_USD]]/Table1[[#This Row],[Labour_Hours]],0)</f>
        <v>226.56756756756755</v>
      </c>
    </row>
    <row r="51" spans="1:16">
      <c r="A51" t="s">
        <v>105</v>
      </c>
      <c r="B51" s="8">
        <v>45718</v>
      </c>
      <c r="C51" t="s">
        <v>32</v>
      </c>
      <c r="D51" t="s">
        <v>44</v>
      </c>
      <c r="E51" t="s">
        <v>68</v>
      </c>
      <c r="F51" t="s">
        <v>30</v>
      </c>
      <c r="G51" t="s">
        <v>63</v>
      </c>
      <c r="H51" t="s">
        <v>58</v>
      </c>
      <c r="I51">
        <v>1</v>
      </c>
      <c r="J51">
        <v>0.79</v>
      </c>
      <c r="K51">
        <v>1.48</v>
      </c>
      <c r="L51">
        <v>1.72</v>
      </c>
      <c r="M51">
        <v>841.86</v>
      </c>
      <c r="N51">
        <v>68.8</v>
      </c>
      <c r="O51">
        <f>SUM($M51:N51)</f>
        <v>910.66</v>
      </c>
      <c r="P51" s="3">
        <f>IFERROR(Table1[[#This Row],[Total_Maintenance_Cost_USD]]/Table1[[#This Row],[Labour_Hours]],0)</f>
        <v>529.45348837209303</v>
      </c>
    </row>
    <row r="52" spans="1:16">
      <c r="A52" t="s">
        <v>106</v>
      </c>
      <c r="B52" s="8">
        <v>45720</v>
      </c>
      <c r="C52" t="s">
        <v>53</v>
      </c>
      <c r="D52" t="s">
        <v>44</v>
      </c>
      <c r="E52" t="s">
        <v>68</v>
      </c>
      <c r="F52" t="s">
        <v>30</v>
      </c>
      <c r="G52" t="s">
        <v>20</v>
      </c>
      <c r="H52" t="s">
        <v>69</v>
      </c>
      <c r="I52">
        <v>1</v>
      </c>
      <c r="J52">
        <v>0.81</v>
      </c>
      <c r="K52">
        <v>5.03</v>
      </c>
      <c r="L52">
        <v>4.4400000000000004</v>
      </c>
      <c r="M52">
        <v>784.48</v>
      </c>
      <c r="N52">
        <v>199.8</v>
      </c>
      <c r="O52">
        <f>SUM($M52:N52)</f>
        <v>984.28</v>
      </c>
      <c r="P52" s="3">
        <f>IFERROR(Table1[[#This Row],[Total_Maintenance_Cost_USD]]/Table1[[#This Row],[Labour_Hours]],0)</f>
        <v>221.68468468468467</v>
      </c>
    </row>
    <row r="53" spans="1:16">
      <c r="A53" t="s">
        <v>107</v>
      </c>
      <c r="B53" s="8">
        <v>45721</v>
      </c>
      <c r="C53" t="s">
        <v>32</v>
      </c>
      <c r="D53" t="s">
        <v>28</v>
      </c>
      <c r="E53" t="s">
        <v>29</v>
      </c>
      <c r="F53" t="s">
        <v>38</v>
      </c>
      <c r="G53" t="s">
        <v>20</v>
      </c>
      <c r="H53" t="s">
        <v>25</v>
      </c>
      <c r="I53">
        <v>0</v>
      </c>
      <c r="J53">
        <v>1.02</v>
      </c>
      <c r="K53">
        <v>2.36</v>
      </c>
      <c r="L53">
        <v>2.37</v>
      </c>
      <c r="M53">
        <v>159.02000000000001</v>
      </c>
      <c r="N53">
        <v>82.95</v>
      </c>
      <c r="O53">
        <f>SUM($M53:N53)</f>
        <v>241.97000000000003</v>
      </c>
      <c r="P53" s="3">
        <f>IFERROR(Table1[[#This Row],[Total_Maintenance_Cost_USD]]/Table1[[#This Row],[Labour_Hours]],0)</f>
        <v>102.09704641350211</v>
      </c>
    </row>
    <row r="54" spans="1:16">
      <c r="A54" t="s">
        <v>108</v>
      </c>
      <c r="B54" s="8">
        <v>45722</v>
      </c>
      <c r="C54" t="s">
        <v>27</v>
      </c>
      <c r="D54" t="s">
        <v>28</v>
      </c>
      <c r="E54" t="s">
        <v>29</v>
      </c>
      <c r="F54" t="s">
        <v>38</v>
      </c>
      <c r="G54" t="s">
        <v>57</v>
      </c>
      <c r="H54" t="s">
        <v>55</v>
      </c>
      <c r="I54">
        <v>0</v>
      </c>
      <c r="J54">
        <v>0</v>
      </c>
      <c r="K54">
        <v>1.38</v>
      </c>
      <c r="L54">
        <v>1.8</v>
      </c>
      <c r="M54">
        <v>207.6</v>
      </c>
      <c r="N54">
        <v>90</v>
      </c>
      <c r="O54">
        <f>SUM($M54:N54)</f>
        <v>297.60000000000002</v>
      </c>
      <c r="P54" s="3">
        <f>IFERROR(Table1[[#This Row],[Total_Maintenance_Cost_USD]]/Table1[[#This Row],[Labour_Hours]],0)</f>
        <v>165.33333333333334</v>
      </c>
    </row>
    <row r="55" spans="1:16">
      <c r="A55" t="s">
        <v>109</v>
      </c>
      <c r="B55" s="8">
        <v>45723</v>
      </c>
      <c r="C55" t="s">
        <v>16</v>
      </c>
      <c r="D55" t="s">
        <v>28</v>
      </c>
      <c r="E55" t="s">
        <v>37</v>
      </c>
      <c r="F55" t="s">
        <v>38</v>
      </c>
      <c r="G55" t="s">
        <v>20</v>
      </c>
      <c r="H55" t="s">
        <v>45</v>
      </c>
      <c r="I55">
        <v>0</v>
      </c>
      <c r="J55">
        <v>1.98</v>
      </c>
      <c r="K55">
        <v>2.38</v>
      </c>
      <c r="L55">
        <v>2.21</v>
      </c>
      <c r="M55">
        <v>222.35</v>
      </c>
      <c r="N55">
        <v>77.349999999999994</v>
      </c>
      <c r="O55">
        <f>SUM($M55:N55)</f>
        <v>299.7</v>
      </c>
      <c r="P55" s="3">
        <f>IFERROR(Table1[[#This Row],[Total_Maintenance_Cost_USD]]/Table1[[#This Row],[Labour_Hours]],0)</f>
        <v>135.6108597285068</v>
      </c>
    </row>
    <row r="56" spans="1:16">
      <c r="A56" t="s">
        <v>110</v>
      </c>
      <c r="B56" s="8">
        <v>45724</v>
      </c>
      <c r="C56" t="s">
        <v>16</v>
      </c>
      <c r="D56" t="s">
        <v>28</v>
      </c>
      <c r="E56" t="s">
        <v>29</v>
      </c>
      <c r="F56" t="s">
        <v>38</v>
      </c>
      <c r="G56" t="s">
        <v>20</v>
      </c>
      <c r="H56" t="s">
        <v>55</v>
      </c>
      <c r="I56">
        <v>0</v>
      </c>
      <c r="J56">
        <v>0.46</v>
      </c>
      <c r="K56">
        <v>1.79</v>
      </c>
      <c r="L56">
        <v>2.31</v>
      </c>
      <c r="M56">
        <v>177.67</v>
      </c>
      <c r="N56">
        <v>92.4</v>
      </c>
      <c r="O56">
        <f>SUM($M56:N56)</f>
        <v>270.07</v>
      </c>
      <c r="P56" s="3">
        <f>IFERROR(Table1[[#This Row],[Total_Maintenance_Cost_USD]]/Table1[[#This Row],[Labour_Hours]],0)</f>
        <v>116.9134199134199</v>
      </c>
    </row>
    <row r="57" spans="1:16">
      <c r="A57" t="s">
        <v>111</v>
      </c>
      <c r="B57" s="8">
        <v>45726</v>
      </c>
      <c r="C57" t="s">
        <v>27</v>
      </c>
      <c r="D57" t="s">
        <v>28</v>
      </c>
      <c r="E57" t="s">
        <v>37</v>
      </c>
      <c r="F57" t="s">
        <v>38</v>
      </c>
      <c r="G57" t="s">
        <v>20</v>
      </c>
      <c r="H57" t="s">
        <v>69</v>
      </c>
      <c r="I57">
        <v>0</v>
      </c>
      <c r="J57">
        <v>0.53</v>
      </c>
      <c r="K57">
        <v>1.1299999999999999</v>
      </c>
      <c r="L57">
        <v>0.99</v>
      </c>
      <c r="M57">
        <v>376.89</v>
      </c>
      <c r="N57">
        <v>39.6</v>
      </c>
      <c r="O57">
        <f>SUM($M57:N57)</f>
        <v>416.49</v>
      </c>
      <c r="P57" s="3">
        <f>IFERROR(Table1[[#This Row],[Total_Maintenance_Cost_USD]]/Table1[[#This Row],[Labour_Hours]],0)</f>
        <v>420.69696969696969</v>
      </c>
    </row>
    <row r="58" spans="1:16">
      <c r="A58" t="s">
        <v>112</v>
      </c>
      <c r="B58" s="8">
        <v>45727</v>
      </c>
      <c r="C58" t="s">
        <v>49</v>
      </c>
      <c r="D58" t="s">
        <v>28</v>
      </c>
      <c r="E58" t="s">
        <v>33</v>
      </c>
      <c r="F58" t="s">
        <v>38</v>
      </c>
      <c r="G58" t="s">
        <v>20</v>
      </c>
      <c r="H58" t="s">
        <v>39</v>
      </c>
      <c r="I58">
        <v>0</v>
      </c>
      <c r="J58">
        <v>0.68</v>
      </c>
      <c r="K58">
        <v>1.38</v>
      </c>
      <c r="L58">
        <v>1.63</v>
      </c>
      <c r="M58">
        <v>159.71</v>
      </c>
      <c r="N58">
        <v>65.2</v>
      </c>
      <c r="O58">
        <f>SUM($M58:N58)</f>
        <v>224.91000000000003</v>
      </c>
      <c r="P58" s="3">
        <f>IFERROR(Table1[[#This Row],[Total_Maintenance_Cost_USD]]/Table1[[#This Row],[Labour_Hours]],0)</f>
        <v>137.98159509202458</v>
      </c>
    </row>
    <row r="59" spans="1:16">
      <c r="A59" t="s">
        <v>113</v>
      </c>
      <c r="B59" s="8">
        <v>45729</v>
      </c>
      <c r="C59" t="s">
        <v>36</v>
      </c>
      <c r="D59" t="s">
        <v>17</v>
      </c>
      <c r="E59" t="s">
        <v>51</v>
      </c>
      <c r="F59" t="s">
        <v>62</v>
      </c>
      <c r="G59" t="s">
        <v>20</v>
      </c>
      <c r="H59" t="s">
        <v>55</v>
      </c>
      <c r="I59">
        <v>1</v>
      </c>
      <c r="J59">
        <v>11.07</v>
      </c>
      <c r="K59">
        <v>5.14</v>
      </c>
      <c r="L59">
        <v>4.92</v>
      </c>
      <c r="M59">
        <v>1766.8</v>
      </c>
      <c r="N59">
        <v>196.8</v>
      </c>
      <c r="O59">
        <f>SUM($M59:N59)</f>
        <v>1963.6</v>
      </c>
      <c r="P59" s="3">
        <f>IFERROR(Table1[[#This Row],[Total_Maintenance_Cost_USD]]/Table1[[#This Row],[Labour_Hours]],0)</f>
        <v>399.10569105691053</v>
      </c>
    </row>
    <row r="60" spans="1:16">
      <c r="A60" t="s">
        <v>114</v>
      </c>
      <c r="B60" s="8">
        <v>45730</v>
      </c>
      <c r="C60" t="s">
        <v>65</v>
      </c>
      <c r="D60" t="s">
        <v>28</v>
      </c>
      <c r="E60" t="s">
        <v>37</v>
      </c>
      <c r="F60" t="s">
        <v>30</v>
      </c>
      <c r="G60" t="s">
        <v>20</v>
      </c>
      <c r="H60" t="s">
        <v>45</v>
      </c>
      <c r="I60">
        <v>0</v>
      </c>
      <c r="J60">
        <v>0.47</v>
      </c>
      <c r="K60">
        <v>0.96</v>
      </c>
      <c r="L60">
        <v>1.1299999999999999</v>
      </c>
      <c r="M60">
        <v>191.15</v>
      </c>
      <c r="N60">
        <v>50.85</v>
      </c>
      <c r="O60">
        <f>SUM($M60:N60)</f>
        <v>242</v>
      </c>
      <c r="P60" s="3">
        <f>IFERROR(Table1[[#This Row],[Total_Maintenance_Cost_USD]]/Table1[[#This Row],[Labour_Hours]],0)</f>
        <v>214.15929203539824</v>
      </c>
    </row>
    <row r="61" spans="1:16">
      <c r="A61" t="s">
        <v>115</v>
      </c>
      <c r="B61" s="8">
        <v>45731</v>
      </c>
      <c r="C61" t="s">
        <v>16</v>
      </c>
      <c r="D61" t="s">
        <v>44</v>
      </c>
      <c r="E61" t="s">
        <v>51</v>
      </c>
      <c r="F61" t="s">
        <v>30</v>
      </c>
      <c r="G61" t="s">
        <v>20</v>
      </c>
      <c r="H61" t="s">
        <v>58</v>
      </c>
      <c r="I61">
        <v>1</v>
      </c>
      <c r="J61">
        <v>11.13</v>
      </c>
      <c r="K61">
        <v>0.78</v>
      </c>
      <c r="L61">
        <v>0.97</v>
      </c>
      <c r="M61">
        <v>1006.97</v>
      </c>
      <c r="N61">
        <v>38.799999999999997</v>
      </c>
      <c r="O61">
        <f>SUM($M61:N61)</f>
        <v>1045.77</v>
      </c>
      <c r="P61" s="3">
        <f>IFERROR(Table1[[#This Row],[Total_Maintenance_Cost_USD]]/Table1[[#This Row],[Labour_Hours]],0)</f>
        <v>1078.1134020618556</v>
      </c>
    </row>
    <row r="62" spans="1:16">
      <c r="A62" t="s">
        <v>116</v>
      </c>
      <c r="B62" s="8">
        <v>45731</v>
      </c>
      <c r="C62" t="s">
        <v>27</v>
      </c>
      <c r="D62" t="s">
        <v>44</v>
      </c>
      <c r="E62" t="s">
        <v>51</v>
      </c>
      <c r="F62" t="s">
        <v>30</v>
      </c>
      <c r="G62" t="s">
        <v>20</v>
      </c>
      <c r="H62" t="s">
        <v>25</v>
      </c>
      <c r="I62">
        <v>1</v>
      </c>
      <c r="J62">
        <v>6.35</v>
      </c>
      <c r="K62">
        <v>6.3</v>
      </c>
      <c r="L62">
        <v>7.65</v>
      </c>
      <c r="M62">
        <v>231.98</v>
      </c>
      <c r="N62">
        <v>344.25</v>
      </c>
      <c r="O62">
        <f>SUM($M62:N62)</f>
        <v>576.23</v>
      </c>
      <c r="P62" s="3">
        <f>IFERROR(Table1[[#This Row],[Total_Maintenance_Cost_USD]]/Table1[[#This Row],[Labour_Hours]],0)</f>
        <v>75.324183006535947</v>
      </c>
    </row>
    <row r="63" spans="1:16">
      <c r="A63" t="s">
        <v>117</v>
      </c>
      <c r="B63" s="8">
        <v>45736</v>
      </c>
      <c r="C63" t="s">
        <v>32</v>
      </c>
      <c r="D63" t="s">
        <v>28</v>
      </c>
      <c r="E63" t="s">
        <v>42</v>
      </c>
      <c r="F63" t="s">
        <v>38</v>
      </c>
      <c r="G63" t="s">
        <v>20</v>
      </c>
      <c r="H63" t="s">
        <v>45</v>
      </c>
      <c r="I63">
        <v>0</v>
      </c>
      <c r="J63">
        <v>1.1000000000000001</v>
      </c>
      <c r="K63">
        <v>1.41</v>
      </c>
      <c r="L63">
        <v>1.32</v>
      </c>
      <c r="M63">
        <v>220.82</v>
      </c>
      <c r="N63">
        <v>52.8</v>
      </c>
      <c r="O63">
        <f>SUM($M63:N63)</f>
        <v>273.62</v>
      </c>
      <c r="P63" s="3">
        <f>IFERROR(Table1[[#This Row],[Total_Maintenance_Cost_USD]]/Table1[[#This Row],[Labour_Hours]],0)</f>
        <v>207.28787878787878</v>
      </c>
    </row>
    <row r="64" spans="1:16">
      <c r="A64" t="s">
        <v>118</v>
      </c>
      <c r="B64" s="8">
        <v>45740</v>
      </c>
      <c r="C64" t="s">
        <v>79</v>
      </c>
      <c r="D64" t="s">
        <v>17</v>
      </c>
      <c r="E64" t="s">
        <v>51</v>
      </c>
      <c r="F64" t="s">
        <v>62</v>
      </c>
      <c r="G64" t="s">
        <v>20</v>
      </c>
      <c r="H64" t="s">
        <v>39</v>
      </c>
      <c r="I64">
        <v>2</v>
      </c>
      <c r="J64">
        <v>6.29</v>
      </c>
      <c r="K64">
        <v>8.39</v>
      </c>
      <c r="L64">
        <v>7.03</v>
      </c>
      <c r="M64">
        <v>2049.9299999999998</v>
      </c>
      <c r="N64">
        <v>316.35000000000002</v>
      </c>
      <c r="O64">
        <f>SUM($M64:N64)</f>
        <v>2366.2799999999997</v>
      </c>
      <c r="P64" s="3">
        <f>IFERROR(Table1[[#This Row],[Total_Maintenance_Cost_USD]]/Table1[[#This Row],[Labour_Hours]],0)</f>
        <v>336.59743954480791</v>
      </c>
    </row>
    <row r="65" spans="1:16">
      <c r="A65" t="s">
        <v>119</v>
      </c>
      <c r="B65" s="8">
        <v>45740</v>
      </c>
      <c r="C65" t="s">
        <v>65</v>
      </c>
      <c r="D65" t="s">
        <v>28</v>
      </c>
      <c r="E65" t="s">
        <v>37</v>
      </c>
      <c r="F65" t="s">
        <v>30</v>
      </c>
      <c r="G65" t="s">
        <v>20</v>
      </c>
      <c r="H65" t="s">
        <v>25</v>
      </c>
      <c r="I65">
        <v>0</v>
      </c>
      <c r="J65">
        <v>0.59</v>
      </c>
      <c r="K65">
        <v>1.24</v>
      </c>
      <c r="L65">
        <v>1.02</v>
      </c>
      <c r="M65">
        <v>53.8</v>
      </c>
      <c r="N65">
        <v>51</v>
      </c>
      <c r="O65">
        <f>SUM($M65:N65)</f>
        <v>104.8</v>
      </c>
      <c r="P65" s="3">
        <f>IFERROR(Table1[[#This Row],[Total_Maintenance_Cost_USD]]/Table1[[#This Row],[Labour_Hours]],0)</f>
        <v>102.74509803921568</v>
      </c>
    </row>
    <row r="66" spans="1:16">
      <c r="A66" t="s">
        <v>120</v>
      </c>
      <c r="B66" s="8">
        <v>45743</v>
      </c>
      <c r="C66" t="s">
        <v>72</v>
      </c>
      <c r="D66" t="s">
        <v>44</v>
      </c>
      <c r="E66" t="s">
        <v>24</v>
      </c>
      <c r="F66" t="s">
        <v>30</v>
      </c>
      <c r="G66" t="s">
        <v>63</v>
      </c>
      <c r="H66" t="s">
        <v>55</v>
      </c>
      <c r="I66">
        <v>1</v>
      </c>
      <c r="J66">
        <v>0.18</v>
      </c>
      <c r="K66">
        <v>1.72</v>
      </c>
      <c r="L66">
        <v>2.2999999999999998</v>
      </c>
      <c r="M66">
        <v>1252.26</v>
      </c>
      <c r="N66">
        <v>92</v>
      </c>
      <c r="O66">
        <f>SUM($M66:N66)</f>
        <v>1344.26</v>
      </c>
      <c r="P66" s="3">
        <f>IFERROR(Table1[[#This Row],[Total_Maintenance_Cost_USD]]/Table1[[#This Row],[Labour_Hours]],0)</f>
        <v>584.46086956521742</v>
      </c>
    </row>
    <row r="67" spans="1:16">
      <c r="A67" t="s">
        <v>121</v>
      </c>
      <c r="B67" s="8">
        <v>45745</v>
      </c>
      <c r="C67" t="s">
        <v>23</v>
      </c>
      <c r="D67" t="s">
        <v>28</v>
      </c>
      <c r="E67" t="s">
        <v>29</v>
      </c>
      <c r="F67" t="s">
        <v>30</v>
      </c>
      <c r="G67" t="s">
        <v>20</v>
      </c>
      <c r="H67" t="s">
        <v>39</v>
      </c>
      <c r="I67">
        <v>0</v>
      </c>
      <c r="J67">
        <v>0</v>
      </c>
      <c r="K67">
        <v>0.68</v>
      </c>
      <c r="L67">
        <v>0.85</v>
      </c>
      <c r="M67">
        <v>91.48</v>
      </c>
      <c r="N67">
        <v>38.25</v>
      </c>
      <c r="O67">
        <f>SUM($M67:N67)</f>
        <v>129.73000000000002</v>
      </c>
      <c r="P67" s="3">
        <f>IFERROR(Table1[[#This Row],[Total_Maintenance_Cost_USD]]/Table1[[#This Row],[Labour_Hours]],0)</f>
        <v>152.62352941176474</v>
      </c>
    </row>
    <row r="68" spans="1:16">
      <c r="A68" t="s">
        <v>122</v>
      </c>
      <c r="B68" s="8">
        <v>45745</v>
      </c>
      <c r="C68" t="s">
        <v>32</v>
      </c>
      <c r="D68" t="s">
        <v>44</v>
      </c>
      <c r="E68" t="s">
        <v>86</v>
      </c>
      <c r="F68" t="s">
        <v>62</v>
      </c>
      <c r="G68" t="s">
        <v>20</v>
      </c>
      <c r="H68" t="s">
        <v>55</v>
      </c>
      <c r="I68">
        <v>2</v>
      </c>
      <c r="J68">
        <v>3.11</v>
      </c>
      <c r="K68">
        <v>8.24</v>
      </c>
      <c r="L68">
        <v>9.5</v>
      </c>
      <c r="M68">
        <v>690.13</v>
      </c>
      <c r="N68">
        <v>427.5</v>
      </c>
      <c r="O68">
        <f>SUM($M68:N68)</f>
        <v>1117.6300000000001</v>
      </c>
      <c r="P68" s="3">
        <f>IFERROR(Table1[[#This Row],[Total_Maintenance_Cost_USD]]/Table1[[#This Row],[Labour_Hours]],0)</f>
        <v>117.64526315789475</v>
      </c>
    </row>
    <row r="69" spans="1:16">
      <c r="A69" t="s">
        <v>123</v>
      </c>
      <c r="B69" s="8">
        <v>45747</v>
      </c>
      <c r="C69" t="s">
        <v>61</v>
      </c>
      <c r="D69" t="s">
        <v>28</v>
      </c>
      <c r="E69" t="s">
        <v>29</v>
      </c>
      <c r="F69" t="s">
        <v>38</v>
      </c>
      <c r="G69" t="s">
        <v>20</v>
      </c>
      <c r="H69" t="s">
        <v>55</v>
      </c>
      <c r="I69">
        <v>0</v>
      </c>
      <c r="J69">
        <v>1</v>
      </c>
      <c r="K69">
        <v>1.02</v>
      </c>
      <c r="L69">
        <v>0.9</v>
      </c>
      <c r="M69">
        <v>226.16</v>
      </c>
      <c r="N69">
        <v>31.5</v>
      </c>
      <c r="O69">
        <f>SUM($M69:N69)</f>
        <v>257.65999999999997</v>
      </c>
      <c r="P69" s="3">
        <f>IFERROR(Table1[[#This Row],[Total_Maintenance_Cost_USD]]/Table1[[#This Row],[Labour_Hours]],0)</f>
        <v>286.28888888888883</v>
      </c>
    </row>
    <row r="70" spans="1:16">
      <c r="A70" t="s">
        <v>124</v>
      </c>
      <c r="B70" s="8">
        <v>45753</v>
      </c>
      <c r="C70" t="s">
        <v>65</v>
      </c>
      <c r="D70" t="s">
        <v>28</v>
      </c>
      <c r="E70" t="s">
        <v>29</v>
      </c>
      <c r="F70" t="s">
        <v>38</v>
      </c>
      <c r="G70" t="s">
        <v>63</v>
      </c>
      <c r="H70" t="s">
        <v>55</v>
      </c>
      <c r="I70">
        <v>0</v>
      </c>
      <c r="J70">
        <v>0.28000000000000003</v>
      </c>
      <c r="K70">
        <v>0.56000000000000005</v>
      </c>
      <c r="L70">
        <v>0.56000000000000005</v>
      </c>
      <c r="M70">
        <v>178.04</v>
      </c>
      <c r="N70">
        <v>25.2</v>
      </c>
      <c r="O70">
        <f>SUM($M70:N70)</f>
        <v>203.23999999999998</v>
      </c>
      <c r="P70" s="3">
        <f>IFERROR(Table1[[#This Row],[Total_Maintenance_Cost_USD]]/Table1[[#This Row],[Labour_Hours]],0)</f>
        <v>362.92857142857133</v>
      </c>
    </row>
    <row r="71" spans="1:16">
      <c r="A71" t="s">
        <v>125</v>
      </c>
      <c r="B71" s="8">
        <v>45754</v>
      </c>
      <c r="C71" t="s">
        <v>49</v>
      </c>
      <c r="D71" t="s">
        <v>44</v>
      </c>
      <c r="E71" t="s">
        <v>86</v>
      </c>
      <c r="F71" t="s">
        <v>30</v>
      </c>
      <c r="G71" t="s">
        <v>20</v>
      </c>
      <c r="H71" t="s">
        <v>55</v>
      </c>
      <c r="I71">
        <v>1</v>
      </c>
      <c r="J71">
        <v>3.95</v>
      </c>
      <c r="K71">
        <v>4.4800000000000004</v>
      </c>
      <c r="L71">
        <v>5.37</v>
      </c>
      <c r="M71">
        <v>543.44000000000005</v>
      </c>
      <c r="N71">
        <v>268.5</v>
      </c>
      <c r="O71">
        <f>SUM($M71:N71)</f>
        <v>811.94</v>
      </c>
      <c r="P71" s="3">
        <f>IFERROR(Table1[[#This Row],[Total_Maintenance_Cost_USD]]/Table1[[#This Row],[Labour_Hours]],0)</f>
        <v>151.19925512104282</v>
      </c>
    </row>
    <row r="72" spans="1:16">
      <c r="A72" t="s">
        <v>126</v>
      </c>
      <c r="B72" s="8">
        <v>45755</v>
      </c>
      <c r="C72" t="s">
        <v>61</v>
      </c>
      <c r="D72" t="s">
        <v>28</v>
      </c>
      <c r="E72" t="s">
        <v>33</v>
      </c>
      <c r="F72" t="s">
        <v>38</v>
      </c>
      <c r="G72" t="s">
        <v>20</v>
      </c>
      <c r="H72" t="s">
        <v>34</v>
      </c>
      <c r="I72">
        <v>0</v>
      </c>
      <c r="J72">
        <v>0.88</v>
      </c>
      <c r="K72">
        <v>1.82</v>
      </c>
      <c r="L72">
        <v>2.15</v>
      </c>
      <c r="M72">
        <v>159.4</v>
      </c>
      <c r="N72">
        <v>107.5</v>
      </c>
      <c r="O72">
        <f>SUM($M72:N72)</f>
        <v>266.89999999999998</v>
      </c>
      <c r="P72" s="3">
        <f>IFERROR(Table1[[#This Row],[Total_Maintenance_Cost_USD]]/Table1[[#This Row],[Labour_Hours]],0)</f>
        <v>124.13953488372093</v>
      </c>
    </row>
    <row r="73" spans="1:16">
      <c r="A73" t="s">
        <v>127</v>
      </c>
      <c r="B73" s="8">
        <v>45755</v>
      </c>
      <c r="C73" t="s">
        <v>79</v>
      </c>
      <c r="D73" t="s">
        <v>28</v>
      </c>
      <c r="E73" t="s">
        <v>29</v>
      </c>
      <c r="F73" t="s">
        <v>38</v>
      </c>
      <c r="G73" t="s">
        <v>20</v>
      </c>
      <c r="H73" t="s">
        <v>45</v>
      </c>
      <c r="I73">
        <v>0</v>
      </c>
      <c r="J73">
        <v>0.44</v>
      </c>
      <c r="K73">
        <v>0.28000000000000003</v>
      </c>
      <c r="L73">
        <v>0.5</v>
      </c>
      <c r="M73">
        <v>234.08</v>
      </c>
      <c r="N73">
        <v>25</v>
      </c>
      <c r="O73">
        <f>SUM($M73:N73)</f>
        <v>259.08000000000004</v>
      </c>
      <c r="P73" s="3">
        <f>IFERROR(Table1[[#This Row],[Total_Maintenance_Cost_USD]]/Table1[[#This Row],[Labour_Hours]],0)</f>
        <v>518.16000000000008</v>
      </c>
    </row>
    <row r="74" spans="1:16">
      <c r="A74" t="s">
        <v>128</v>
      </c>
      <c r="B74" s="8">
        <v>45757</v>
      </c>
      <c r="C74" t="s">
        <v>41</v>
      </c>
      <c r="D74" t="s">
        <v>44</v>
      </c>
      <c r="E74" t="s">
        <v>24</v>
      </c>
      <c r="F74" t="s">
        <v>62</v>
      </c>
      <c r="G74" t="s">
        <v>20</v>
      </c>
      <c r="H74" t="s">
        <v>25</v>
      </c>
      <c r="I74">
        <v>1</v>
      </c>
      <c r="J74">
        <v>2.08</v>
      </c>
      <c r="K74">
        <v>4.08</v>
      </c>
      <c r="L74">
        <v>5.38</v>
      </c>
      <c r="M74">
        <v>1069.17</v>
      </c>
      <c r="N74">
        <v>188.3</v>
      </c>
      <c r="O74">
        <f>SUM($M74:N74)</f>
        <v>1257.47</v>
      </c>
      <c r="P74" s="3">
        <f>IFERROR(Table1[[#This Row],[Total_Maintenance_Cost_USD]]/Table1[[#This Row],[Labour_Hours]],0)</f>
        <v>233.73048327137548</v>
      </c>
    </row>
    <row r="75" spans="1:16">
      <c r="A75" t="s">
        <v>129</v>
      </c>
      <c r="B75" s="8">
        <v>45758</v>
      </c>
      <c r="C75" t="s">
        <v>65</v>
      </c>
      <c r="D75" t="s">
        <v>28</v>
      </c>
      <c r="E75" t="s">
        <v>42</v>
      </c>
      <c r="F75" t="s">
        <v>38</v>
      </c>
      <c r="G75" t="s">
        <v>20</v>
      </c>
      <c r="H75" t="s">
        <v>34</v>
      </c>
      <c r="I75">
        <v>0</v>
      </c>
      <c r="J75">
        <v>0.53</v>
      </c>
      <c r="K75">
        <v>1.98</v>
      </c>
      <c r="L75">
        <v>2.19</v>
      </c>
      <c r="M75">
        <v>145.5</v>
      </c>
      <c r="N75">
        <v>109.5</v>
      </c>
      <c r="O75">
        <f>SUM($M75:N75)</f>
        <v>255</v>
      </c>
      <c r="P75" s="3">
        <f>IFERROR(Table1[[#This Row],[Total_Maintenance_Cost_USD]]/Table1[[#This Row],[Labour_Hours]],0)</f>
        <v>116.43835616438356</v>
      </c>
    </row>
    <row r="76" spans="1:16">
      <c r="A76" t="s">
        <v>130</v>
      </c>
      <c r="B76" s="8">
        <v>45758</v>
      </c>
      <c r="C76" t="s">
        <v>65</v>
      </c>
      <c r="D76" t="s">
        <v>28</v>
      </c>
      <c r="E76" t="s">
        <v>29</v>
      </c>
      <c r="F76" t="s">
        <v>38</v>
      </c>
      <c r="G76" t="s">
        <v>20</v>
      </c>
      <c r="H76" t="s">
        <v>34</v>
      </c>
      <c r="I76">
        <v>0</v>
      </c>
      <c r="J76">
        <v>0.54</v>
      </c>
      <c r="K76">
        <v>1.48</v>
      </c>
      <c r="L76">
        <v>1.61</v>
      </c>
      <c r="M76">
        <v>192.11</v>
      </c>
      <c r="N76">
        <v>64.400000000000006</v>
      </c>
      <c r="O76">
        <f>SUM($M76:N76)</f>
        <v>256.51</v>
      </c>
      <c r="P76" s="3">
        <f>IFERROR(Table1[[#This Row],[Total_Maintenance_Cost_USD]]/Table1[[#This Row],[Labour_Hours]],0)</f>
        <v>159.3229813664596</v>
      </c>
    </row>
    <row r="77" spans="1:16">
      <c r="A77" t="s">
        <v>131</v>
      </c>
      <c r="B77" s="8">
        <v>45759</v>
      </c>
      <c r="C77" t="s">
        <v>61</v>
      </c>
      <c r="D77" t="s">
        <v>28</v>
      </c>
      <c r="E77" t="s">
        <v>37</v>
      </c>
      <c r="F77" t="s">
        <v>30</v>
      </c>
      <c r="G77" t="s">
        <v>20</v>
      </c>
      <c r="H77" t="s">
        <v>34</v>
      </c>
      <c r="I77">
        <v>0</v>
      </c>
      <c r="J77">
        <v>0</v>
      </c>
      <c r="K77">
        <v>0.47</v>
      </c>
      <c r="L77">
        <v>0.5</v>
      </c>
      <c r="M77">
        <v>86.66</v>
      </c>
      <c r="N77">
        <v>22.5</v>
      </c>
      <c r="O77">
        <f>SUM($M77:N77)</f>
        <v>109.16</v>
      </c>
      <c r="P77" s="3">
        <f>IFERROR(Table1[[#This Row],[Total_Maintenance_Cost_USD]]/Table1[[#This Row],[Labour_Hours]],0)</f>
        <v>218.32</v>
      </c>
    </row>
    <row r="78" spans="1:16">
      <c r="A78" t="s">
        <v>132</v>
      </c>
      <c r="B78" s="8">
        <v>45759</v>
      </c>
      <c r="C78" t="s">
        <v>27</v>
      </c>
      <c r="D78" t="s">
        <v>44</v>
      </c>
      <c r="E78" t="s">
        <v>86</v>
      </c>
      <c r="F78" t="s">
        <v>30</v>
      </c>
      <c r="G78" t="s">
        <v>20</v>
      </c>
      <c r="H78" t="s">
        <v>58</v>
      </c>
      <c r="I78">
        <v>2</v>
      </c>
      <c r="J78">
        <v>3.33</v>
      </c>
      <c r="K78">
        <v>1.79</v>
      </c>
      <c r="L78">
        <v>1.9</v>
      </c>
      <c r="M78">
        <v>392.61</v>
      </c>
      <c r="N78">
        <v>76</v>
      </c>
      <c r="O78">
        <f>SUM($M78:N78)</f>
        <v>468.61</v>
      </c>
      <c r="P78" s="3">
        <f>IFERROR(Table1[[#This Row],[Total_Maintenance_Cost_USD]]/Table1[[#This Row],[Labour_Hours]],0)</f>
        <v>246.63684210526318</v>
      </c>
    </row>
    <row r="79" spans="1:16">
      <c r="A79" t="s">
        <v>133</v>
      </c>
      <c r="B79" s="8">
        <v>45760</v>
      </c>
      <c r="C79" t="s">
        <v>61</v>
      </c>
      <c r="D79" t="s">
        <v>44</v>
      </c>
      <c r="E79" t="s">
        <v>47</v>
      </c>
      <c r="F79" t="s">
        <v>30</v>
      </c>
      <c r="G79" t="s">
        <v>20</v>
      </c>
      <c r="H79" t="s">
        <v>55</v>
      </c>
      <c r="I79">
        <v>1</v>
      </c>
      <c r="J79">
        <v>2.81</v>
      </c>
      <c r="K79">
        <v>0.9</v>
      </c>
      <c r="L79">
        <v>0.77</v>
      </c>
      <c r="M79">
        <v>721.6</v>
      </c>
      <c r="N79">
        <v>30.8</v>
      </c>
      <c r="O79">
        <f>SUM($M79:N79)</f>
        <v>752.4</v>
      </c>
      <c r="P79" s="3">
        <f>IFERROR(Table1[[#This Row],[Total_Maintenance_Cost_USD]]/Table1[[#This Row],[Labour_Hours]],0)</f>
        <v>977.14285714285711</v>
      </c>
    </row>
    <row r="80" spans="1:16">
      <c r="A80" t="s">
        <v>134</v>
      </c>
      <c r="B80" s="8">
        <v>45761</v>
      </c>
      <c r="C80" t="s">
        <v>32</v>
      </c>
      <c r="D80" t="s">
        <v>44</v>
      </c>
      <c r="E80" t="s">
        <v>47</v>
      </c>
      <c r="F80" t="s">
        <v>30</v>
      </c>
      <c r="G80" t="s">
        <v>20</v>
      </c>
      <c r="H80" t="s">
        <v>58</v>
      </c>
      <c r="I80">
        <v>1</v>
      </c>
      <c r="J80">
        <v>3.75</v>
      </c>
      <c r="K80">
        <v>3.22</v>
      </c>
      <c r="L80">
        <v>3.9</v>
      </c>
      <c r="M80">
        <v>1131.67</v>
      </c>
      <c r="N80">
        <v>156</v>
      </c>
      <c r="O80">
        <f>SUM($M80:N80)</f>
        <v>1287.67</v>
      </c>
      <c r="P80" s="3">
        <f>IFERROR(Table1[[#This Row],[Total_Maintenance_Cost_USD]]/Table1[[#This Row],[Labour_Hours]],0)</f>
        <v>330.17179487179487</v>
      </c>
    </row>
    <row r="81" spans="1:16">
      <c r="A81" t="s">
        <v>135</v>
      </c>
      <c r="B81" s="8">
        <v>45763</v>
      </c>
      <c r="C81" t="s">
        <v>65</v>
      </c>
      <c r="D81" t="s">
        <v>28</v>
      </c>
      <c r="E81" t="s">
        <v>42</v>
      </c>
      <c r="F81" t="s">
        <v>38</v>
      </c>
      <c r="G81" t="s">
        <v>63</v>
      </c>
      <c r="H81" t="s">
        <v>21</v>
      </c>
      <c r="I81">
        <v>0</v>
      </c>
      <c r="J81">
        <v>0.78</v>
      </c>
      <c r="K81">
        <v>1.31</v>
      </c>
      <c r="L81">
        <v>1.1599999999999999</v>
      </c>
      <c r="M81">
        <v>223.8</v>
      </c>
      <c r="N81">
        <v>46.4</v>
      </c>
      <c r="O81">
        <f>SUM($M81:N81)</f>
        <v>270.2</v>
      </c>
      <c r="P81" s="3">
        <f>IFERROR(Table1[[#This Row],[Total_Maintenance_Cost_USD]]/Table1[[#This Row],[Labour_Hours]],0)</f>
        <v>232.93103448275863</v>
      </c>
    </row>
    <row r="82" spans="1:16">
      <c r="A82" t="s">
        <v>136</v>
      </c>
      <c r="B82" s="8">
        <v>45765</v>
      </c>
      <c r="C82" t="s">
        <v>79</v>
      </c>
      <c r="D82" t="s">
        <v>44</v>
      </c>
      <c r="E82" t="s">
        <v>47</v>
      </c>
      <c r="F82" t="s">
        <v>30</v>
      </c>
      <c r="G82" t="s">
        <v>20</v>
      </c>
      <c r="H82" t="s">
        <v>39</v>
      </c>
      <c r="I82">
        <v>1</v>
      </c>
      <c r="J82">
        <v>0.96</v>
      </c>
      <c r="K82">
        <v>4.58</v>
      </c>
      <c r="L82">
        <v>4.99</v>
      </c>
      <c r="M82">
        <v>760.95</v>
      </c>
      <c r="N82">
        <v>249.5</v>
      </c>
      <c r="O82">
        <f>SUM($M82:N82)</f>
        <v>1010.45</v>
      </c>
      <c r="P82" s="3">
        <f>IFERROR(Table1[[#This Row],[Total_Maintenance_Cost_USD]]/Table1[[#This Row],[Labour_Hours]],0)</f>
        <v>202.49498997995991</v>
      </c>
    </row>
    <row r="83" spans="1:16">
      <c r="A83" t="s">
        <v>137</v>
      </c>
      <c r="B83" s="8">
        <v>45765</v>
      </c>
      <c r="C83" t="s">
        <v>53</v>
      </c>
      <c r="D83" t="s">
        <v>44</v>
      </c>
      <c r="E83" t="s">
        <v>51</v>
      </c>
      <c r="F83" t="s">
        <v>30</v>
      </c>
      <c r="G83" t="s">
        <v>20</v>
      </c>
      <c r="H83" t="s">
        <v>45</v>
      </c>
      <c r="I83">
        <v>1</v>
      </c>
      <c r="J83">
        <v>2.2599999999999998</v>
      </c>
      <c r="K83">
        <v>3.76</v>
      </c>
      <c r="L83">
        <v>4.99</v>
      </c>
      <c r="M83">
        <v>282.66000000000003</v>
      </c>
      <c r="N83">
        <v>224.55</v>
      </c>
      <c r="O83">
        <f>SUM($M83:N83)</f>
        <v>507.21000000000004</v>
      </c>
      <c r="P83" s="3">
        <f>IFERROR(Table1[[#This Row],[Total_Maintenance_Cost_USD]]/Table1[[#This Row],[Labour_Hours]],0)</f>
        <v>101.64529058116233</v>
      </c>
    </row>
    <row r="84" spans="1:16">
      <c r="A84" t="s">
        <v>138</v>
      </c>
      <c r="B84" s="8">
        <v>45767</v>
      </c>
      <c r="C84" t="s">
        <v>32</v>
      </c>
      <c r="D84" t="s">
        <v>44</v>
      </c>
      <c r="E84" t="s">
        <v>18</v>
      </c>
      <c r="F84" t="s">
        <v>30</v>
      </c>
      <c r="G84" t="s">
        <v>20</v>
      </c>
      <c r="H84" t="s">
        <v>34</v>
      </c>
      <c r="I84">
        <v>1</v>
      </c>
      <c r="J84">
        <v>2.81</v>
      </c>
      <c r="K84">
        <v>3.26</v>
      </c>
      <c r="L84">
        <v>4.25</v>
      </c>
      <c r="M84">
        <v>904.69</v>
      </c>
      <c r="N84">
        <v>170</v>
      </c>
      <c r="O84">
        <f>SUM($M84:N84)</f>
        <v>1074.69</v>
      </c>
      <c r="P84" s="3">
        <f>IFERROR(Table1[[#This Row],[Total_Maintenance_Cost_USD]]/Table1[[#This Row],[Labour_Hours]],0)</f>
        <v>252.86823529411765</v>
      </c>
    </row>
    <row r="85" spans="1:16">
      <c r="A85" t="s">
        <v>139</v>
      </c>
      <c r="B85" s="8">
        <v>45768</v>
      </c>
      <c r="C85" t="s">
        <v>41</v>
      </c>
      <c r="D85" t="s">
        <v>44</v>
      </c>
      <c r="E85" t="s">
        <v>47</v>
      </c>
      <c r="F85" t="s">
        <v>30</v>
      </c>
      <c r="G85" t="s">
        <v>20</v>
      </c>
      <c r="H85" t="s">
        <v>34</v>
      </c>
      <c r="I85">
        <v>1</v>
      </c>
      <c r="J85">
        <v>5.76</v>
      </c>
      <c r="K85">
        <v>4.5199999999999996</v>
      </c>
      <c r="L85">
        <v>5</v>
      </c>
      <c r="M85">
        <v>455.57</v>
      </c>
      <c r="N85">
        <v>250</v>
      </c>
      <c r="O85">
        <f>SUM($M85:N85)</f>
        <v>705.56999999999994</v>
      </c>
      <c r="P85" s="3">
        <f>IFERROR(Table1[[#This Row],[Total_Maintenance_Cost_USD]]/Table1[[#This Row],[Labour_Hours]],0)</f>
        <v>141.11399999999998</v>
      </c>
    </row>
    <row r="86" spans="1:16">
      <c r="A86" t="s">
        <v>140</v>
      </c>
      <c r="B86" s="8">
        <v>45768</v>
      </c>
      <c r="C86" t="s">
        <v>36</v>
      </c>
      <c r="D86" t="s">
        <v>17</v>
      </c>
      <c r="E86" t="s">
        <v>18</v>
      </c>
      <c r="F86" t="s">
        <v>62</v>
      </c>
      <c r="G86" t="s">
        <v>20</v>
      </c>
      <c r="H86" t="s">
        <v>25</v>
      </c>
      <c r="I86">
        <v>1</v>
      </c>
      <c r="J86">
        <v>10.59</v>
      </c>
      <c r="K86">
        <v>6.56</v>
      </c>
      <c r="L86">
        <v>8.1</v>
      </c>
      <c r="M86">
        <v>1924.53</v>
      </c>
      <c r="N86">
        <v>283.5</v>
      </c>
      <c r="O86">
        <f>SUM($M86:N86)</f>
        <v>2208.0299999999997</v>
      </c>
      <c r="P86" s="3">
        <f>IFERROR(Table1[[#This Row],[Total_Maintenance_Cost_USD]]/Table1[[#This Row],[Labour_Hours]],0)</f>
        <v>272.59629629629626</v>
      </c>
    </row>
    <row r="87" spans="1:16">
      <c r="A87" t="s">
        <v>141</v>
      </c>
      <c r="B87" s="8">
        <v>45769</v>
      </c>
      <c r="C87" t="s">
        <v>61</v>
      </c>
      <c r="D87" t="s">
        <v>28</v>
      </c>
      <c r="E87" t="s">
        <v>37</v>
      </c>
      <c r="F87" t="s">
        <v>30</v>
      </c>
      <c r="G87" t="s">
        <v>63</v>
      </c>
      <c r="H87" t="s">
        <v>69</v>
      </c>
      <c r="I87">
        <v>0</v>
      </c>
      <c r="J87">
        <v>1.05</v>
      </c>
      <c r="K87">
        <v>0.28000000000000003</v>
      </c>
      <c r="L87">
        <v>0.5</v>
      </c>
      <c r="M87">
        <v>268.14</v>
      </c>
      <c r="N87">
        <v>20</v>
      </c>
      <c r="O87">
        <f>SUM($M87:N87)</f>
        <v>288.14</v>
      </c>
      <c r="P87" s="3">
        <f>IFERROR(Table1[[#This Row],[Total_Maintenance_Cost_USD]]/Table1[[#This Row],[Labour_Hours]],0)</f>
        <v>576.28</v>
      </c>
    </row>
    <row r="88" spans="1:16">
      <c r="A88" t="s">
        <v>142</v>
      </c>
      <c r="B88" s="8">
        <v>45770</v>
      </c>
      <c r="C88" t="s">
        <v>61</v>
      </c>
      <c r="D88" t="s">
        <v>44</v>
      </c>
      <c r="E88" t="s">
        <v>68</v>
      </c>
      <c r="F88" t="s">
        <v>62</v>
      </c>
      <c r="G88" t="s">
        <v>63</v>
      </c>
      <c r="H88" t="s">
        <v>34</v>
      </c>
      <c r="I88">
        <v>1</v>
      </c>
      <c r="J88">
        <v>3.62</v>
      </c>
      <c r="K88">
        <v>3.05</v>
      </c>
      <c r="L88">
        <v>4.03</v>
      </c>
      <c r="M88">
        <v>532.91</v>
      </c>
      <c r="N88">
        <v>141.05000000000001</v>
      </c>
      <c r="O88">
        <f>SUM($M88:N88)</f>
        <v>673.96</v>
      </c>
      <c r="P88" s="3">
        <f>IFERROR(Table1[[#This Row],[Total_Maintenance_Cost_USD]]/Table1[[#This Row],[Labour_Hours]],0)</f>
        <v>167.23573200992556</v>
      </c>
    </row>
    <row r="89" spans="1:16">
      <c r="A89" t="s">
        <v>143</v>
      </c>
      <c r="B89" s="8">
        <v>45772</v>
      </c>
      <c r="C89" t="s">
        <v>27</v>
      </c>
      <c r="D89" t="s">
        <v>28</v>
      </c>
      <c r="E89" t="s">
        <v>29</v>
      </c>
      <c r="F89" t="s">
        <v>30</v>
      </c>
      <c r="G89" t="s">
        <v>20</v>
      </c>
      <c r="H89" t="s">
        <v>34</v>
      </c>
      <c r="I89">
        <v>0</v>
      </c>
      <c r="J89">
        <v>0.54</v>
      </c>
      <c r="K89">
        <v>1.05</v>
      </c>
      <c r="L89">
        <v>1.33</v>
      </c>
      <c r="M89">
        <v>133.38999999999999</v>
      </c>
      <c r="N89">
        <v>53.2</v>
      </c>
      <c r="O89">
        <f>SUM($M89:N89)</f>
        <v>186.58999999999997</v>
      </c>
      <c r="P89" s="3">
        <f>IFERROR(Table1[[#This Row],[Total_Maintenance_Cost_USD]]/Table1[[#This Row],[Labour_Hours]],0)</f>
        <v>140.29323308270673</v>
      </c>
    </row>
    <row r="90" spans="1:16">
      <c r="A90" t="s">
        <v>144</v>
      </c>
      <c r="B90" s="8">
        <v>45775</v>
      </c>
      <c r="C90" t="s">
        <v>41</v>
      </c>
      <c r="D90" t="s">
        <v>44</v>
      </c>
      <c r="E90" t="s">
        <v>51</v>
      </c>
      <c r="F90" t="s">
        <v>30</v>
      </c>
      <c r="G90" t="s">
        <v>20</v>
      </c>
      <c r="H90" t="s">
        <v>55</v>
      </c>
      <c r="I90">
        <v>1</v>
      </c>
      <c r="J90">
        <v>1.25</v>
      </c>
      <c r="K90">
        <v>5.01</v>
      </c>
      <c r="L90">
        <v>6.29</v>
      </c>
      <c r="M90">
        <v>884.03</v>
      </c>
      <c r="N90">
        <v>220.15</v>
      </c>
      <c r="O90">
        <f>SUM($M90:N90)</f>
        <v>1104.18</v>
      </c>
      <c r="P90" s="3">
        <f>IFERROR(Table1[[#This Row],[Total_Maintenance_Cost_USD]]/Table1[[#This Row],[Labour_Hours]],0)</f>
        <v>175.54531001589825</v>
      </c>
    </row>
    <row r="91" spans="1:16">
      <c r="A91" t="s">
        <v>145</v>
      </c>
      <c r="B91" s="8">
        <v>45776</v>
      </c>
      <c r="C91" t="s">
        <v>27</v>
      </c>
      <c r="D91" t="s">
        <v>28</v>
      </c>
      <c r="E91" t="s">
        <v>33</v>
      </c>
      <c r="F91" t="s">
        <v>30</v>
      </c>
      <c r="G91" t="s">
        <v>20</v>
      </c>
      <c r="H91" t="s">
        <v>25</v>
      </c>
      <c r="I91">
        <v>0</v>
      </c>
      <c r="J91">
        <v>0</v>
      </c>
      <c r="K91">
        <v>1.25</v>
      </c>
      <c r="L91">
        <v>1.34</v>
      </c>
      <c r="M91">
        <v>214.21</v>
      </c>
      <c r="N91">
        <v>53.6</v>
      </c>
      <c r="O91">
        <f>SUM($M91:N91)</f>
        <v>267.81</v>
      </c>
      <c r="P91" s="3">
        <f>IFERROR(Table1[[#This Row],[Total_Maintenance_Cost_USD]]/Table1[[#This Row],[Labour_Hours]],0)</f>
        <v>199.85820895522386</v>
      </c>
    </row>
    <row r="92" spans="1:16">
      <c r="A92" t="s">
        <v>146</v>
      </c>
      <c r="B92" s="8">
        <v>45778</v>
      </c>
      <c r="C92" t="s">
        <v>61</v>
      </c>
      <c r="D92" t="s">
        <v>17</v>
      </c>
      <c r="E92" t="s">
        <v>18</v>
      </c>
      <c r="F92" t="s">
        <v>62</v>
      </c>
      <c r="G92" t="s">
        <v>20</v>
      </c>
      <c r="H92" t="s">
        <v>55</v>
      </c>
      <c r="I92">
        <v>1</v>
      </c>
      <c r="J92">
        <v>2.27</v>
      </c>
      <c r="K92">
        <v>4.8499999999999996</v>
      </c>
      <c r="L92">
        <v>4.4800000000000004</v>
      </c>
      <c r="M92">
        <v>559.92999999999995</v>
      </c>
      <c r="N92">
        <v>201.6</v>
      </c>
      <c r="O92">
        <f>SUM($M92:N92)</f>
        <v>761.53</v>
      </c>
      <c r="P92" s="3">
        <f>IFERROR(Table1[[#This Row],[Total_Maintenance_Cost_USD]]/Table1[[#This Row],[Labour_Hours]],0)</f>
        <v>169.98437499999997</v>
      </c>
    </row>
    <row r="93" spans="1:16">
      <c r="A93" t="s">
        <v>147</v>
      </c>
      <c r="B93" s="8">
        <v>45778</v>
      </c>
      <c r="C93" t="s">
        <v>32</v>
      </c>
      <c r="D93" t="s">
        <v>17</v>
      </c>
      <c r="E93" t="s">
        <v>18</v>
      </c>
      <c r="F93" t="s">
        <v>62</v>
      </c>
      <c r="G93" t="s">
        <v>57</v>
      </c>
      <c r="H93" t="s">
        <v>58</v>
      </c>
      <c r="I93">
        <v>1</v>
      </c>
      <c r="J93">
        <v>0.92</v>
      </c>
      <c r="K93">
        <v>6.34</v>
      </c>
      <c r="L93">
        <v>5.67</v>
      </c>
      <c r="M93">
        <v>1714.9</v>
      </c>
      <c r="N93">
        <v>255.15</v>
      </c>
      <c r="O93">
        <f>SUM($M93:N93)</f>
        <v>1970.0500000000002</v>
      </c>
      <c r="P93" s="3">
        <f>IFERROR(Table1[[#This Row],[Total_Maintenance_Cost_USD]]/Table1[[#This Row],[Labour_Hours]],0)</f>
        <v>347.45149911816583</v>
      </c>
    </row>
    <row r="94" spans="1:16">
      <c r="A94" t="s">
        <v>148</v>
      </c>
      <c r="B94" s="8">
        <v>45779</v>
      </c>
      <c r="C94" t="s">
        <v>16</v>
      </c>
      <c r="D94" t="s">
        <v>28</v>
      </c>
      <c r="E94" t="s">
        <v>42</v>
      </c>
      <c r="F94" t="s">
        <v>30</v>
      </c>
      <c r="G94" t="s">
        <v>20</v>
      </c>
      <c r="H94" t="s">
        <v>39</v>
      </c>
      <c r="I94">
        <v>0</v>
      </c>
      <c r="J94">
        <v>0</v>
      </c>
      <c r="K94">
        <v>1.99</v>
      </c>
      <c r="L94">
        <v>1.88</v>
      </c>
      <c r="M94">
        <v>210.64</v>
      </c>
      <c r="N94">
        <v>75.2</v>
      </c>
      <c r="O94">
        <f>SUM($M94:N94)</f>
        <v>285.83999999999997</v>
      </c>
      <c r="P94" s="3">
        <f>IFERROR(Table1[[#This Row],[Total_Maintenance_Cost_USD]]/Table1[[#This Row],[Labour_Hours]],0)</f>
        <v>152.04255319148936</v>
      </c>
    </row>
    <row r="95" spans="1:16">
      <c r="A95" t="s">
        <v>149</v>
      </c>
      <c r="B95" s="8">
        <v>45780</v>
      </c>
      <c r="C95" t="s">
        <v>16</v>
      </c>
      <c r="D95" t="s">
        <v>28</v>
      </c>
      <c r="E95" t="s">
        <v>33</v>
      </c>
      <c r="F95" t="s">
        <v>38</v>
      </c>
      <c r="G95" t="s">
        <v>20</v>
      </c>
      <c r="H95" t="s">
        <v>25</v>
      </c>
      <c r="I95">
        <v>0</v>
      </c>
      <c r="J95">
        <v>1.94</v>
      </c>
      <c r="K95">
        <v>2.0299999999999998</v>
      </c>
      <c r="L95">
        <v>2.2799999999999998</v>
      </c>
      <c r="M95">
        <v>99.24</v>
      </c>
      <c r="N95">
        <v>102.6</v>
      </c>
      <c r="O95">
        <f>SUM($M95:N95)</f>
        <v>201.83999999999997</v>
      </c>
      <c r="P95" s="3">
        <f>IFERROR(Table1[[#This Row],[Total_Maintenance_Cost_USD]]/Table1[[#This Row],[Labour_Hours]],0)</f>
        <v>88.526315789473685</v>
      </c>
    </row>
    <row r="96" spans="1:16">
      <c r="A96" t="s">
        <v>150</v>
      </c>
      <c r="B96" s="8">
        <v>45781</v>
      </c>
      <c r="C96" t="s">
        <v>23</v>
      </c>
      <c r="D96" t="s">
        <v>44</v>
      </c>
      <c r="E96" t="s">
        <v>47</v>
      </c>
      <c r="F96" t="s">
        <v>62</v>
      </c>
      <c r="G96" t="s">
        <v>20</v>
      </c>
      <c r="H96" t="s">
        <v>34</v>
      </c>
      <c r="I96">
        <v>1</v>
      </c>
      <c r="J96">
        <v>4.5599999999999996</v>
      </c>
      <c r="K96">
        <v>2.6</v>
      </c>
      <c r="L96">
        <v>2.21</v>
      </c>
      <c r="M96">
        <v>1025.1500000000001</v>
      </c>
      <c r="N96">
        <v>77.349999999999994</v>
      </c>
      <c r="O96">
        <f>SUM($M96:N96)</f>
        <v>1102.5</v>
      </c>
      <c r="P96" s="3">
        <f>IFERROR(Table1[[#This Row],[Total_Maintenance_Cost_USD]]/Table1[[#This Row],[Labour_Hours]],0)</f>
        <v>498.86877828054298</v>
      </c>
    </row>
    <row r="97" spans="1:16">
      <c r="A97" t="s">
        <v>151</v>
      </c>
      <c r="B97" s="8">
        <v>45783</v>
      </c>
      <c r="C97" t="s">
        <v>36</v>
      </c>
      <c r="D97" t="s">
        <v>28</v>
      </c>
      <c r="E97" t="s">
        <v>29</v>
      </c>
      <c r="F97" t="s">
        <v>38</v>
      </c>
      <c r="G97" t="s">
        <v>20</v>
      </c>
      <c r="H97" t="s">
        <v>55</v>
      </c>
      <c r="I97">
        <v>0</v>
      </c>
      <c r="J97">
        <v>0.56000000000000005</v>
      </c>
      <c r="K97">
        <v>1.05</v>
      </c>
      <c r="L97">
        <v>1.34</v>
      </c>
      <c r="M97">
        <v>207.33</v>
      </c>
      <c r="N97">
        <v>60.3</v>
      </c>
      <c r="O97">
        <f>SUM($M97:N97)</f>
        <v>267.63</v>
      </c>
      <c r="P97" s="3">
        <f>IFERROR(Table1[[#This Row],[Total_Maintenance_Cost_USD]]/Table1[[#This Row],[Labour_Hours]],0)</f>
        <v>199.7238805970149</v>
      </c>
    </row>
    <row r="98" spans="1:16">
      <c r="A98" t="s">
        <v>152</v>
      </c>
      <c r="B98" s="8">
        <v>45784</v>
      </c>
      <c r="C98" t="s">
        <v>27</v>
      </c>
      <c r="D98" t="s">
        <v>28</v>
      </c>
      <c r="E98" t="s">
        <v>33</v>
      </c>
      <c r="F98" t="s">
        <v>38</v>
      </c>
      <c r="G98" t="s">
        <v>63</v>
      </c>
      <c r="H98" t="s">
        <v>69</v>
      </c>
      <c r="I98">
        <v>0</v>
      </c>
      <c r="J98">
        <v>0</v>
      </c>
      <c r="K98">
        <v>1.1399999999999999</v>
      </c>
      <c r="L98">
        <v>1.31</v>
      </c>
      <c r="M98">
        <v>196.41</v>
      </c>
      <c r="N98">
        <v>52.4</v>
      </c>
      <c r="O98">
        <f>SUM($M98:N98)</f>
        <v>248.81</v>
      </c>
      <c r="P98" s="3">
        <f>IFERROR(Table1[[#This Row],[Total_Maintenance_Cost_USD]]/Table1[[#This Row],[Labour_Hours]],0)</f>
        <v>189.93129770992365</v>
      </c>
    </row>
    <row r="99" spans="1:16">
      <c r="A99" t="s">
        <v>153</v>
      </c>
      <c r="B99" s="8">
        <v>45784</v>
      </c>
      <c r="C99" t="s">
        <v>79</v>
      </c>
      <c r="D99" t="s">
        <v>28</v>
      </c>
      <c r="E99" t="s">
        <v>29</v>
      </c>
      <c r="F99" t="s">
        <v>30</v>
      </c>
      <c r="G99" t="s">
        <v>20</v>
      </c>
      <c r="H99" t="s">
        <v>55</v>
      </c>
      <c r="I99">
        <v>0</v>
      </c>
      <c r="J99">
        <v>0.39</v>
      </c>
      <c r="K99">
        <v>1.25</v>
      </c>
      <c r="L99">
        <v>1.52</v>
      </c>
      <c r="M99">
        <v>261.13</v>
      </c>
      <c r="N99">
        <v>60.8</v>
      </c>
      <c r="O99">
        <f>SUM($M99:N99)</f>
        <v>321.93</v>
      </c>
      <c r="P99" s="3">
        <f>IFERROR(Table1[[#This Row],[Total_Maintenance_Cost_USD]]/Table1[[#This Row],[Labour_Hours]],0)</f>
        <v>211.79605263157896</v>
      </c>
    </row>
    <row r="100" spans="1:16">
      <c r="A100" t="s">
        <v>154</v>
      </c>
      <c r="B100" s="8">
        <v>45787</v>
      </c>
      <c r="C100" t="s">
        <v>72</v>
      </c>
      <c r="D100" t="s">
        <v>28</v>
      </c>
      <c r="E100" t="s">
        <v>33</v>
      </c>
      <c r="F100" t="s">
        <v>38</v>
      </c>
      <c r="G100" t="s">
        <v>20</v>
      </c>
      <c r="H100" t="s">
        <v>34</v>
      </c>
      <c r="I100">
        <v>0</v>
      </c>
      <c r="J100">
        <v>0.37</v>
      </c>
      <c r="K100">
        <v>1.1000000000000001</v>
      </c>
      <c r="L100">
        <v>1.1399999999999999</v>
      </c>
      <c r="M100">
        <v>95.81</v>
      </c>
      <c r="N100">
        <v>45.6</v>
      </c>
      <c r="O100">
        <f>SUM($M100:N100)</f>
        <v>141.41</v>
      </c>
      <c r="P100" s="3">
        <f>IFERROR(Table1[[#This Row],[Total_Maintenance_Cost_USD]]/Table1[[#This Row],[Labour_Hours]],0)</f>
        <v>124.04385964912281</v>
      </c>
    </row>
    <row r="101" spans="1:16">
      <c r="A101" t="s">
        <v>155</v>
      </c>
      <c r="B101" s="8">
        <v>45790</v>
      </c>
      <c r="C101" t="s">
        <v>79</v>
      </c>
      <c r="D101" t="s">
        <v>17</v>
      </c>
      <c r="E101" t="s">
        <v>18</v>
      </c>
      <c r="F101" t="s">
        <v>62</v>
      </c>
      <c r="G101" t="s">
        <v>20</v>
      </c>
      <c r="H101" t="s">
        <v>55</v>
      </c>
      <c r="I101">
        <v>1</v>
      </c>
      <c r="J101">
        <v>6.32</v>
      </c>
      <c r="K101">
        <v>6.94</v>
      </c>
      <c r="L101">
        <v>6.22</v>
      </c>
      <c r="M101">
        <v>1631.11</v>
      </c>
      <c r="N101">
        <v>217.7</v>
      </c>
      <c r="O101">
        <f>SUM($M101:N101)</f>
        <v>1848.81</v>
      </c>
      <c r="P101" s="3">
        <f>IFERROR(Table1[[#This Row],[Total_Maintenance_Cost_USD]]/Table1[[#This Row],[Labour_Hours]],0)</f>
        <v>297.2363344051447</v>
      </c>
    </row>
    <row r="102" spans="1:16">
      <c r="A102" t="s">
        <v>156</v>
      </c>
      <c r="B102" s="8">
        <v>45790</v>
      </c>
      <c r="C102" t="s">
        <v>23</v>
      </c>
      <c r="D102" t="s">
        <v>28</v>
      </c>
      <c r="E102" t="s">
        <v>37</v>
      </c>
      <c r="F102" t="s">
        <v>38</v>
      </c>
      <c r="G102" t="s">
        <v>20</v>
      </c>
      <c r="H102" t="s">
        <v>34</v>
      </c>
      <c r="I102">
        <v>0</v>
      </c>
      <c r="J102">
        <v>0.63</v>
      </c>
      <c r="K102">
        <v>0.53</v>
      </c>
      <c r="L102">
        <v>0.5</v>
      </c>
      <c r="M102">
        <v>106.69</v>
      </c>
      <c r="N102">
        <v>22.5</v>
      </c>
      <c r="O102">
        <f>SUM($M102:N102)</f>
        <v>129.19</v>
      </c>
      <c r="P102" s="3">
        <f>IFERROR(Table1[[#This Row],[Total_Maintenance_Cost_USD]]/Table1[[#This Row],[Labour_Hours]],0)</f>
        <v>258.38</v>
      </c>
    </row>
    <row r="103" spans="1:16">
      <c r="A103" t="s">
        <v>157</v>
      </c>
      <c r="B103" s="8">
        <v>45791</v>
      </c>
      <c r="C103" t="s">
        <v>16</v>
      </c>
      <c r="D103" t="s">
        <v>28</v>
      </c>
      <c r="E103" t="s">
        <v>29</v>
      </c>
      <c r="F103" t="s">
        <v>38</v>
      </c>
      <c r="G103" t="s">
        <v>20</v>
      </c>
      <c r="H103" t="s">
        <v>58</v>
      </c>
      <c r="I103">
        <v>0</v>
      </c>
      <c r="J103">
        <v>0.75</v>
      </c>
      <c r="K103">
        <v>1.77</v>
      </c>
      <c r="L103">
        <v>1.62</v>
      </c>
      <c r="M103">
        <v>47.48</v>
      </c>
      <c r="N103">
        <v>72.900000000000006</v>
      </c>
      <c r="O103">
        <f>SUM($M103:N103)</f>
        <v>120.38</v>
      </c>
      <c r="P103" s="3">
        <f>IFERROR(Table1[[#This Row],[Total_Maintenance_Cost_USD]]/Table1[[#This Row],[Labour_Hours]],0)</f>
        <v>74.308641975308632</v>
      </c>
    </row>
    <row r="104" spans="1:16">
      <c r="A104" t="s">
        <v>158</v>
      </c>
      <c r="B104" s="8">
        <v>45791</v>
      </c>
      <c r="C104" t="s">
        <v>23</v>
      </c>
      <c r="D104" t="s">
        <v>28</v>
      </c>
      <c r="E104" t="s">
        <v>29</v>
      </c>
      <c r="F104" t="s">
        <v>30</v>
      </c>
      <c r="G104" t="s">
        <v>20</v>
      </c>
      <c r="H104" t="s">
        <v>58</v>
      </c>
      <c r="I104">
        <v>0</v>
      </c>
      <c r="J104">
        <v>0.92</v>
      </c>
      <c r="K104">
        <v>1.53</v>
      </c>
      <c r="L104">
        <v>1.41</v>
      </c>
      <c r="M104">
        <v>214.26</v>
      </c>
      <c r="N104">
        <v>49.35</v>
      </c>
      <c r="O104">
        <f>SUM($M104:N104)</f>
        <v>263.61</v>
      </c>
      <c r="P104" s="3">
        <f>IFERROR(Table1[[#This Row],[Total_Maintenance_Cost_USD]]/Table1[[#This Row],[Labour_Hours]],0)</f>
        <v>186.95744680851067</v>
      </c>
    </row>
    <row r="105" spans="1:16">
      <c r="A105" t="s">
        <v>159</v>
      </c>
      <c r="B105" s="8">
        <v>45793</v>
      </c>
      <c r="C105" t="s">
        <v>61</v>
      </c>
      <c r="D105" t="s">
        <v>44</v>
      </c>
      <c r="E105" t="s">
        <v>68</v>
      </c>
      <c r="F105" t="s">
        <v>62</v>
      </c>
      <c r="G105" t="s">
        <v>20</v>
      </c>
      <c r="H105" t="s">
        <v>34</v>
      </c>
      <c r="I105">
        <v>1</v>
      </c>
      <c r="J105">
        <v>2.33</v>
      </c>
      <c r="K105">
        <v>2.64</v>
      </c>
      <c r="L105">
        <v>2.66</v>
      </c>
      <c r="M105">
        <v>613.07000000000005</v>
      </c>
      <c r="N105">
        <v>106.4</v>
      </c>
      <c r="O105">
        <f>SUM($M105:N105)</f>
        <v>719.47</v>
      </c>
      <c r="P105" s="3">
        <f>IFERROR(Table1[[#This Row],[Total_Maintenance_Cost_USD]]/Table1[[#This Row],[Labour_Hours]],0)</f>
        <v>270.47744360902254</v>
      </c>
    </row>
    <row r="106" spans="1:16">
      <c r="A106" t="s">
        <v>160</v>
      </c>
      <c r="B106" s="8">
        <v>45793</v>
      </c>
      <c r="C106" t="s">
        <v>79</v>
      </c>
      <c r="D106" t="s">
        <v>28</v>
      </c>
      <c r="E106" t="s">
        <v>33</v>
      </c>
      <c r="F106" t="s">
        <v>30</v>
      </c>
      <c r="G106" t="s">
        <v>20</v>
      </c>
      <c r="H106" t="s">
        <v>21</v>
      </c>
      <c r="I106">
        <v>0</v>
      </c>
      <c r="J106">
        <v>0.04</v>
      </c>
      <c r="K106">
        <v>0.94</v>
      </c>
      <c r="L106">
        <v>0.8</v>
      </c>
      <c r="M106">
        <v>292.3</v>
      </c>
      <c r="N106">
        <v>32</v>
      </c>
      <c r="O106">
        <f>SUM($M106:N106)</f>
        <v>324.3</v>
      </c>
      <c r="P106" s="3">
        <f>IFERROR(Table1[[#This Row],[Total_Maintenance_Cost_USD]]/Table1[[#This Row],[Labour_Hours]],0)</f>
        <v>405.375</v>
      </c>
    </row>
    <row r="107" spans="1:16">
      <c r="A107" t="s">
        <v>161</v>
      </c>
      <c r="B107" s="8">
        <v>45797</v>
      </c>
      <c r="C107" t="s">
        <v>27</v>
      </c>
      <c r="D107" t="s">
        <v>44</v>
      </c>
      <c r="E107" t="s">
        <v>18</v>
      </c>
      <c r="F107" t="s">
        <v>30</v>
      </c>
      <c r="G107" t="s">
        <v>20</v>
      </c>
      <c r="H107" t="s">
        <v>55</v>
      </c>
      <c r="I107">
        <v>1</v>
      </c>
      <c r="J107">
        <v>3.04</v>
      </c>
      <c r="K107">
        <v>5.24</v>
      </c>
      <c r="L107">
        <v>6.27</v>
      </c>
      <c r="M107">
        <v>289.94</v>
      </c>
      <c r="N107">
        <v>282.14999999999998</v>
      </c>
      <c r="O107">
        <f>SUM($M107:N107)</f>
        <v>572.08999999999992</v>
      </c>
      <c r="P107" s="3">
        <f>IFERROR(Table1[[#This Row],[Total_Maintenance_Cost_USD]]/Table1[[#This Row],[Labour_Hours]],0)</f>
        <v>91.242424242424235</v>
      </c>
    </row>
    <row r="108" spans="1:16">
      <c r="A108" t="s">
        <v>162</v>
      </c>
      <c r="B108" s="8">
        <v>45799</v>
      </c>
      <c r="C108" t="s">
        <v>79</v>
      </c>
      <c r="D108" t="s">
        <v>17</v>
      </c>
      <c r="E108" t="s">
        <v>51</v>
      </c>
      <c r="F108" t="s">
        <v>19</v>
      </c>
      <c r="G108" t="s">
        <v>20</v>
      </c>
      <c r="H108" t="s">
        <v>55</v>
      </c>
      <c r="I108">
        <v>1</v>
      </c>
      <c r="J108">
        <v>4.41</v>
      </c>
      <c r="K108">
        <v>8.83</v>
      </c>
      <c r="L108">
        <v>9.5</v>
      </c>
      <c r="M108">
        <v>888.99</v>
      </c>
      <c r="N108">
        <v>427.5</v>
      </c>
      <c r="O108">
        <f>SUM($M108:N108)</f>
        <v>1316.49</v>
      </c>
      <c r="P108" s="3">
        <f>IFERROR(Table1[[#This Row],[Total_Maintenance_Cost_USD]]/Table1[[#This Row],[Labour_Hours]],0)</f>
        <v>138.5778947368421</v>
      </c>
    </row>
    <row r="109" spans="1:16">
      <c r="A109" t="s">
        <v>163</v>
      </c>
      <c r="B109" s="8">
        <v>45804</v>
      </c>
      <c r="C109" t="s">
        <v>49</v>
      </c>
      <c r="D109" t="s">
        <v>28</v>
      </c>
      <c r="E109" t="s">
        <v>33</v>
      </c>
      <c r="F109" t="s">
        <v>30</v>
      </c>
      <c r="G109" t="s">
        <v>20</v>
      </c>
      <c r="H109" t="s">
        <v>21</v>
      </c>
      <c r="I109">
        <v>0</v>
      </c>
      <c r="J109">
        <v>0.55000000000000004</v>
      </c>
      <c r="K109">
        <v>1.0900000000000001</v>
      </c>
      <c r="L109">
        <v>1.45</v>
      </c>
      <c r="M109">
        <v>90.78</v>
      </c>
      <c r="N109">
        <v>65.25</v>
      </c>
      <c r="O109">
        <f>SUM($M109:N109)</f>
        <v>156.03</v>
      </c>
      <c r="P109" s="3">
        <f>IFERROR(Table1[[#This Row],[Total_Maintenance_Cost_USD]]/Table1[[#This Row],[Labour_Hours]],0)</f>
        <v>107.60689655172415</v>
      </c>
    </row>
    <row r="110" spans="1:16">
      <c r="A110" t="s">
        <v>164</v>
      </c>
      <c r="B110" s="8">
        <v>45806</v>
      </c>
      <c r="C110" t="s">
        <v>41</v>
      </c>
      <c r="D110" t="s">
        <v>17</v>
      </c>
      <c r="E110" t="s">
        <v>24</v>
      </c>
      <c r="F110" t="s">
        <v>19</v>
      </c>
      <c r="G110" t="s">
        <v>63</v>
      </c>
      <c r="H110" t="s">
        <v>25</v>
      </c>
      <c r="I110">
        <v>1</v>
      </c>
      <c r="J110">
        <v>8.31</v>
      </c>
      <c r="K110">
        <v>8.98</v>
      </c>
      <c r="L110">
        <v>10.6</v>
      </c>
      <c r="M110">
        <v>1529.56</v>
      </c>
      <c r="N110">
        <v>371</v>
      </c>
      <c r="O110">
        <f>SUM($M110:N110)</f>
        <v>1900.56</v>
      </c>
      <c r="P110" s="3">
        <f>IFERROR(Table1[[#This Row],[Total_Maintenance_Cost_USD]]/Table1[[#This Row],[Labour_Hours]],0)</f>
        <v>179.29811320754717</v>
      </c>
    </row>
    <row r="111" spans="1:16">
      <c r="A111" t="s">
        <v>165</v>
      </c>
      <c r="B111" s="8">
        <v>45807</v>
      </c>
      <c r="C111" t="s">
        <v>53</v>
      </c>
      <c r="D111" t="s">
        <v>28</v>
      </c>
      <c r="E111" t="s">
        <v>42</v>
      </c>
      <c r="F111" t="s">
        <v>38</v>
      </c>
      <c r="G111" t="s">
        <v>20</v>
      </c>
      <c r="H111" t="s">
        <v>55</v>
      </c>
      <c r="I111">
        <v>0</v>
      </c>
      <c r="J111">
        <v>0</v>
      </c>
      <c r="K111">
        <v>1.42</v>
      </c>
      <c r="L111">
        <v>1.58</v>
      </c>
      <c r="M111">
        <v>290.26</v>
      </c>
      <c r="N111">
        <v>63.2</v>
      </c>
      <c r="O111">
        <f>SUM($M111:N111)</f>
        <v>353.46</v>
      </c>
      <c r="P111" s="3">
        <f>IFERROR(Table1[[#This Row],[Total_Maintenance_Cost_USD]]/Table1[[#This Row],[Labour_Hours]],0)</f>
        <v>223.70886075949366</v>
      </c>
    </row>
    <row r="112" spans="1:16">
      <c r="A112" t="s">
        <v>166</v>
      </c>
      <c r="B112" s="8">
        <v>45807</v>
      </c>
      <c r="C112" t="s">
        <v>32</v>
      </c>
      <c r="D112" t="s">
        <v>44</v>
      </c>
      <c r="E112" t="s">
        <v>18</v>
      </c>
      <c r="F112" t="s">
        <v>30</v>
      </c>
      <c r="G112" t="s">
        <v>20</v>
      </c>
      <c r="H112" t="s">
        <v>45</v>
      </c>
      <c r="I112">
        <v>1</v>
      </c>
      <c r="J112">
        <v>3.8</v>
      </c>
      <c r="K112">
        <v>3.28</v>
      </c>
      <c r="L112">
        <v>3.16</v>
      </c>
      <c r="M112">
        <v>263.14</v>
      </c>
      <c r="N112">
        <v>126.4</v>
      </c>
      <c r="O112">
        <f>SUM($M112:N112)</f>
        <v>389.53999999999996</v>
      </c>
      <c r="P112" s="3">
        <f>IFERROR(Table1[[#This Row],[Total_Maintenance_Cost_USD]]/Table1[[#This Row],[Labour_Hours]],0)</f>
        <v>123.27215189873417</v>
      </c>
    </row>
    <row r="113" spans="1:16">
      <c r="A113" t="s">
        <v>167</v>
      </c>
      <c r="B113" s="8">
        <v>45807</v>
      </c>
      <c r="C113" t="s">
        <v>16</v>
      </c>
      <c r="D113" t="s">
        <v>17</v>
      </c>
      <c r="E113" t="s">
        <v>68</v>
      </c>
      <c r="F113" t="s">
        <v>19</v>
      </c>
      <c r="G113" t="s">
        <v>20</v>
      </c>
      <c r="H113" t="s">
        <v>39</v>
      </c>
      <c r="I113">
        <v>1</v>
      </c>
      <c r="J113">
        <v>2.91</v>
      </c>
      <c r="K113">
        <v>11.8</v>
      </c>
      <c r="L113">
        <v>9.89</v>
      </c>
      <c r="M113">
        <v>1481.04</v>
      </c>
      <c r="N113">
        <v>445.05</v>
      </c>
      <c r="O113">
        <f>SUM($M113:N113)</f>
        <v>1926.09</v>
      </c>
      <c r="P113" s="3">
        <f>IFERROR(Table1[[#This Row],[Total_Maintenance_Cost_USD]]/Table1[[#This Row],[Labour_Hours]],0)</f>
        <v>194.75126390293224</v>
      </c>
    </row>
    <row r="114" spans="1:16">
      <c r="A114" t="s">
        <v>168</v>
      </c>
      <c r="B114" s="8">
        <v>45809</v>
      </c>
      <c r="C114" t="s">
        <v>16</v>
      </c>
      <c r="D114" t="s">
        <v>44</v>
      </c>
      <c r="E114" t="s">
        <v>47</v>
      </c>
      <c r="F114" t="s">
        <v>62</v>
      </c>
      <c r="G114" t="s">
        <v>20</v>
      </c>
      <c r="H114" t="s">
        <v>69</v>
      </c>
      <c r="I114">
        <v>1</v>
      </c>
      <c r="J114">
        <v>2.64</v>
      </c>
      <c r="K114">
        <v>0.68</v>
      </c>
      <c r="L114">
        <v>0.7</v>
      </c>
      <c r="M114">
        <v>505.69</v>
      </c>
      <c r="N114">
        <v>35</v>
      </c>
      <c r="O114">
        <f>SUM($M114:N114)</f>
        <v>540.69000000000005</v>
      </c>
      <c r="P114" s="3">
        <f>IFERROR(Table1[[#This Row],[Total_Maintenance_Cost_USD]]/Table1[[#This Row],[Labour_Hours]],0)</f>
        <v>772.41428571428582</v>
      </c>
    </row>
    <row r="115" spans="1:16">
      <c r="A115" t="s">
        <v>169</v>
      </c>
      <c r="B115" s="8">
        <v>45810</v>
      </c>
      <c r="C115" t="s">
        <v>41</v>
      </c>
      <c r="D115" t="s">
        <v>28</v>
      </c>
      <c r="E115" t="s">
        <v>33</v>
      </c>
      <c r="F115" t="s">
        <v>30</v>
      </c>
      <c r="G115" t="s">
        <v>20</v>
      </c>
      <c r="H115" t="s">
        <v>55</v>
      </c>
      <c r="I115">
        <v>0</v>
      </c>
      <c r="J115">
        <v>1.52</v>
      </c>
      <c r="K115">
        <v>2.1800000000000002</v>
      </c>
      <c r="L115">
        <v>2.5</v>
      </c>
      <c r="M115">
        <v>29.08</v>
      </c>
      <c r="N115">
        <v>100</v>
      </c>
      <c r="O115">
        <f>SUM($M115:N115)</f>
        <v>129.07999999999998</v>
      </c>
      <c r="P115" s="3">
        <f>IFERROR(Table1[[#This Row],[Total_Maintenance_Cost_USD]]/Table1[[#This Row],[Labour_Hours]],0)</f>
        <v>51.631999999999991</v>
      </c>
    </row>
    <row r="116" spans="1:16">
      <c r="A116" t="s">
        <v>170</v>
      </c>
      <c r="B116" s="8">
        <v>45810</v>
      </c>
      <c r="C116" t="s">
        <v>23</v>
      </c>
      <c r="D116" t="s">
        <v>28</v>
      </c>
      <c r="E116" t="s">
        <v>37</v>
      </c>
      <c r="F116" t="s">
        <v>38</v>
      </c>
      <c r="G116" t="s">
        <v>20</v>
      </c>
      <c r="H116" t="s">
        <v>69</v>
      </c>
      <c r="I116">
        <v>0</v>
      </c>
      <c r="J116">
        <v>0.41</v>
      </c>
      <c r="K116">
        <v>0.26</v>
      </c>
      <c r="L116">
        <v>0.5</v>
      </c>
      <c r="M116">
        <v>320.76</v>
      </c>
      <c r="N116">
        <v>20</v>
      </c>
      <c r="O116">
        <f>SUM($M116:N116)</f>
        <v>340.76</v>
      </c>
      <c r="P116" s="3">
        <f>IFERROR(Table1[[#This Row],[Total_Maintenance_Cost_USD]]/Table1[[#This Row],[Labour_Hours]],0)</f>
        <v>681.52</v>
      </c>
    </row>
    <row r="117" spans="1:16">
      <c r="A117" t="s">
        <v>171</v>
      </c>
      <c r="B117" s="8">
        <v>45815</v>
      </c>
      <c r="C117" t="s">
        <v>36</v>
      </c>
      <c r="D117" t="s">
        <v>17</v>
      </c>
      <c r="E117" t="s">
        <v>47</v>
      </c>
      <c r="F117" t="s">
        <v>19</v>
      </c>
      <c r="G117" t="s">
        <v>20</v>
      </c>
      <c r="H117" t="s">
        <v>55</v>
      </c>
      <c r="I117">
        <v>1</v>
      </c>
      <c r="J117">
        <v>6.72</v>
      </c>
      <c r="K117">
        <v>3.92</v>
      </c>
      <c r="L117">
        <v>4.6100000000000003</v>
      </c>
      <c r="M117">
        <v>1902.32</v>
      </c>
      <c r="N117">
        <v>184.4</v>
      </c>
      <c r="O117">
        <f>SUM($M117:N117)</f>
        <v>2086.7199999999998</v>
      </c>
      <c r="P117" s="3">
        <f>IFERROR(Table1[[#This Row],[Total_Maintenance_Cost_USD]]/Table1[[#This Row],[Labour_Hours]],0)</f>
        <v>452.65075921908885</v>
      </c>
    </row>
    <row r="118" spans="1:16">
      <c r="A118" t="s">
        <v>172</v>
      </c>
      <c r="B118" s="8">
        <v>45816</v>
      </c>
      <c r="C118" t="s">
        <v>72</v>
      </c>
      <c r="D118" t="s">
        <v>17</v>
      </c>
      <c r="E118" t="s">
        <v>51</v>
      </c>
      <c r="F118" t="s">
        <v>19</v>
      </c>
      <c r="G118" t="s">
        <v>20</v>
      </c>
      <c r="H118" t="s">
        <v>39</v>
      </c>
      <c r="I118">
        <v>1</v>
      </c>
      <c r="J118">
        <v>7.65</v>
      </c>
      <c r="K118">
        <v>7.45</v>
      </c>
      <c r="L118">
        <v>6.24</v>
      </c>
      <c r="M118">
        <v>1791.88</v>
      </c>
      <c r="N118">
        <v>218.4</v>
      </c>
      <c r="O118">
        <f>SUM($M118:N118)</f>
        <v>2010.2800000000002</v>
      </c>
      <c r="P118" s="3">
        <f>IFERROR(Table1[[#This Row],[Total_Maintenance_Cost_USD]]/Table1[[#This Row],[Labour_Hours]],0)</f>
        <v>322.16025641025641</v>
      </c>
    </row>
    <row r="119" spans="1:16">
      <c r="A119" t="s">
        <v>173</v>
      </c>
      <c r="B119" s="8">
        <v>45816</v>
      </c>
      <c r="C119" t="s">
        <v>61</v>
      </c>
      <c r="D119" t="s">
        <v>28</v>
      </c>
      <c r="E119" t="s">
        <v>29</v>
      </c>
      <c r="F119" t="s">
        <v>38</v>
      </c>
      <c r="G119" t="s">
        <v>63</v>
      </c>
      <c r="H119" t="s">
        <v>45</v>
      </c>
      <c r="I119">
        <v>0</v>
      </c>
      <c r="J119">
        <v>0</v>
      </c>
      <c r="K119">
        <v>0.28000000000000003</v>
      </c>
      <c r="L119">
        <v>0.5</v>
      </c>
      <c r="M119">
        <v>157.79</v>
      </c>
      <c r="N119">
        <v>22.5</v>
      </c>
      <c r="O119">
        <f>SUM($M119:N119)</f>
        <v>180.29</v>
      </c>
      <c r="P119" s="3">
        <f>IFERROR(Table1[[#This Row],[Total_Maintenance_Cost_USD]]/Table1[[#This Row],[Labour_Hours]],0)</f>
        <v>360.58</v>
      </c>
    </row>
    <row r="120" spans="1:16">
      <c r="A120" t="s">
        <v>174</v>
      </c>
      <c r="B120" s="8">
        <v>45816</v>
      </c>
      <c r="C120" t="s">
        <v>72</v>
      </c>
      <c r="D120" t="s">
        <v>17</v>
      </c>
      <c r="E120" t="s">
        <v>54</v>
      </c>
      <c r="F120" t="s">
        <v>62</v>
      </c>
      <c r="G120" t="s">
        <v>20</v>
      </c>
      <c r="H120" t="s">
        <v>39</v>
      </c>
      <c r="I120">
        <v>1</v>
      </c>
      <c r="J120">
        <v>5.86</v>
      </c>
      <c r="K120">
        <v>6.9</v>
      </c>
      <c r="L120">
        <v>7.14</v>
      </c>
      <c r="M120">
        <v>727.36</v>
      </c>
      <c r="N120">
        <v>285.60000000000002</v>
      </c>
      <c r="O120">
        <f>SUM($M120:N120)</f>
        <v>1012.96</v>
      </c>
      <c r="P120" s="3">
        <f>IFERROR(Table1[[#This Row],[Total_Maintenance_Cost_USD]]/Table1[[#This Row],[Labour_Hours]],0)</f>
        <v>141.87114845938376</v>
      </c>
    </row>
    <row r="121" spans="1:16">
      <c r="A121" t="s">
        <v>175</v>
      </c>
      <c r="B121" s="8">
        <v>45817</v>
      </c>
      <c r="C121" t="s">
        <v>32</v>
      </c>
      <c r="D121" t="s">
        <v>28</v>
      </c>
      <c r="E121" t="s">
        <v>37</v>
      </c>
      <c r="F121" t="s">
        <v>38</v>
      </c>
      <c r="G121" t="s">
        <v>20</v>
      </c>
      <c r="H121" t="s">
        <v>34</v>
      </c>
      <c r="I121">
        <v>0</v>
      </c>
      <c r="J121">
        <v>0.7</v>
      </c>
      <c r="K121">
        <v>1.04</v>
      </c>
      <c r="L121">
        <v>1.34</v>
      </c>
      <c r="M121">
        <v>380.02</v>
      </c>
      <c r="N121">
        <v>60.3</v>
      </c>
      <c r="O121">
        <f>SUM($M121:N121)</f>
        <v>440.32</v>
      </c>
      <c r="P121" s="3">
        <f>IFERROR(Table1[[#This Row],[Total_Maintenance_Cost_USD]]/Table1[[#This Row],[Labour_Hours]],0)</f>
        <v>328.59701492537312</v>
      </c>
    </row>
    <row r="122" spans="1:16">
      <c r="A122" t="s">
        <v>176</v>
      </c>
      <c r="B122" s="8">
        <v>45817</v>
      </c>
      <c r="C122" t="s">
        <v>41</v>
      </c>
      <c r="D122" t="s">
        <v>44</v>
      </c>
      <c r="E122" t="s">
        <v>18</v>
      </c>
      <c r="F122" t="s">
        <v>30</v>
      </c>
      <c r="G122" t="s">
        <v>20</v>
      </c>
      <c r="H122" t="s">
        <v>39</v>
      </c>
      <c r="I122">
        <v>1</v>
      </c>
      <c r="J122">
        <v>1.74</v>
      </c>
      <c r="K122">
        <v>3.22</v>
      </c>
      <c r="L122">
        <v>2.69</v>
      </c>
      <c r="M122">
        <v>879.76</v>
      </c>
      <c r="N122">
        <v>134.5</v>
      </c>
      <c r="O122">
        <f>SUM($M122:N122)</f>
        <v>1014.26</v>
      </c>
      <c r="P122" s="3">
        <f>IFERROR(Table1[[#This Row],[Total_Maintenance_Cost_USD]]/Table1[[#This Row],[Labour_Hours]],0)</f>
        <v>377.04832713754649</v>
      </c>
    </row>
    <row r="123" spans="1:16">
      <c r="A123" t="s">
        <v>177</v>
      </c>
      <c r="B123" s="8">
        <v>45818</v>
      </c>
      <c r="C123" t="s">
        <v>32</v>
      </c>
      <c r="D123" t="s">
        <v>28</v>
      </c>
      <c r="E123" t="s">
        <v>33</v>
      </c>
      <c r="F123" t="s">
        <v>38</v>
      </c>
      <c r="G123" t="s">
        <v>20</v>
      </c>
      <c r="H123" t="s">
        <v>45</v>
      </c>
      <c r="I123">
        <v>0</v>
      </c>
      <c r="J123">
        <v>0.14000000000000001</v>
      </c>
      <c r="K123">
        <v>0.62</v>
      </c>
      <c r="L123">
        <v>0.51</v>
      </c>
      <c r="M123">
        <v>187.96</v>
      </c>
      <c r="N123">
        <v>20.399999999999999</v>
      </c>
      <c r="O123">
        <f>SUM($M123:N123)</f>
        <v>208.36</v>
      </c>
      <c r="P123" s="3">
        <f>IFERROR(Table1[[#This Row],[Total_Maintenance_Cost_USD]]/Table1[[#This Row],[Labour_Hours]],0)</f>
        <v>408.54901960784315</v>
      </c>
    </row>
    <row r="124" spans="1:16">
      <c r="A124" t="s">
        <v>178</v>
      </c>
      <c r="B124" s="8">
        <v>45818</v>
      </c>
      <c r="C124" t="s">
        <v>23</v>
      </c>
      <c r="D124" t="s">
        <v>28</v>
      </c>
      <c r="E124" t="s">
        <v>37</v>
      </c>
      <c r="F124" t="s">
        <v>30</v>
      </c>
      <c r="G124" t="s">
        <v>57</v>
      </c>
      <c r="H124" t="s">
        <v>25</v>
      </c>
      <c r="I124">
        <v>0</v>
      </c>
      <c r="J124">
        <v>0.46</v>
      </c>
      <c r="K124">
        <v>1.28</v>
      </c>
      <c r="L124">
        <v>1.5</v>
      </c>
      <c r="M124">
        <v>248.57</v>
      </c>
      <c r="N124">
        <v>60</v>
      </c>
      <c r="O124">
        <f>SUM($M124:N124)</f>
        <v>308.57</v>
      </c>
      <c r="P124" s="3">
        <f>IFERROR(Table1[[#This Row],[Total_Maintenance_Cost_USD]]/Table1[[#This Row],[Labour_Hours]],0)</f>
        <v>205.71333333333334</v>
      </c>
    </row>
    <row r="125" spans="1:16">
      <c r="A125" t="s">
        <v>179</v>
      </c>
      <c r="B125" s="8">
        <v>45818</v>
      </c>
      <c r="C125" t="s">
        <v>79</v>
      </c>
      <c r="D125" t="s">
        <v>28</v>
      </c>
      <c r="E125" t="s">
        <v>37</v>
      </c>
      <c r="F125" t="s">
        <v>38</v>
      </c>
      <c r="G125" t="s">
        <v>20</v>
      </c>
      <c r="H125" t="s">
        <v>21</v>
      </c>
      <c r="I125">
        <v>0</v>
      </c>
      <c r="J125">
        <v>0.65</v>
      </c>
      <c r="K125">
        <v>1.1499999999999999</v>
      </c>
      <c r="L125">
        <v>1.24</v>
      </c>
      <c r="M125">
        <v>251.77</v>
      </c>
      <c r="N125">
        <v>43.4</v>
      </c>
      <c r="O125">
        <f>SUM($M125:N125)</f>
        <v>295.17</v>
      </c>
      <c r="P125" s="3">
        <f>IFERROR(Table1[[#This Row],[Total_Maintenance_Cost_USD]]/Table1[[#This Row],[Labour_Hours]],0)</f>
        <v>238.04032258064518</v>
      </c>
    </row>
    <row r="126" spans="1:16">
      <c r="A126" t="s">
        <v>180</v>
      </c>
      <c r="B126" s="8">
        <v>45819</v>
      </c>
      <c r="C126" t="s">
        <v>32</v>
      </c>
      <c r="D126" t="s">
        <v>28</v>
      </c>
      <c r="E126" t="s">
        <v>42</v>
      </c>
      <c r="F126" t="s">
        <v>38</v>
      </c>
      <c r="G126" t="s">
        <v>63</v>
      </c>
      <c r="H126" t="s">
        <v>39</v>
      </c>
      <c r="I126">
        <v>0</v>
      </c>
      <c r="J126">
        <v>0.33</v>
      </c>
      <c r="K126">
        <v>1.28</v>
      </c>
      <c r="L126">
        <v>1.25</v>
      </c>
      <c r="M126">
        <v>164.94</v>
      </c>
      <c r="N126">
        <v>56.25</v>
      </c>
      <c r="O126">
        <f>SUM($M126:N126)</f>
        <v>221.19</v>
      </c>
      <c r="P126" s="3">
        <f>IFERROR(Table1[[#This Row],[Total_Maintenance_Cost_USD]]/Table1[[#This Row],[Labour_Hours]],0)</f>
        <v>176.952</v>
      </c>
    </row>
    <row r="127" spans="1:16">
      <c r="A127" t="s">
        <v>181</v>
      </c>
      <c r="B127" s="8">
        <v>45819</v>
      </c>
      <c r="C127" t="s">
        <v>27</v>
      </c>
      <c r="D127" t="s">
        <v>28</v>
      </c>
      <c r="E127" t="s">
        <v>42</v>
      </c>
      <c r="F127" t="s">
        <v>38</v>
      </c>
      <c r="G127" t="s">
        <v>20</v>
      </c>
      <c r="H127" t="s">
        <v>34</v>
      </c>
      <c r="I127">
        <v>0</v>
      </c>
      <c r="J127">
        <v>1.18</v>
      </c>
      <c r="K127">
        <v>2.0099999999999998</v>
      </c>
      <c r="L127">
        <v>1.95</v>
      </c>
      <c r="M127">
        <v>27.37</v>
      </c>
      <c r="N127">
        <v>68.25</v>
      </c>
      <c r="O127">
        <f>SUM($M127:N127)</f>
        <v>95.62</v>
      </c>
      <c r="P127" s="3">
        <f>IFERROR(Table1[[#This Row],[Total_Maintenance_Cost_USD]]/Table1[[#This Row],[Labour_Hours]],0)</f>
        <v>49.035897435897439</v>
      </c>
    </row>
    <row r="128" spans="1:16">
      <c r="A128" t="s">
        <v>182</v>
      </c>
      <c r="B128" s="8">
        <v>45820</v>
      </c>
      <c r="C128" t="s">
        <v>23</v>
      </c>
      <c r="D128" t="s">
        <v>28</v>
      </c>
      <c r="E128" t="s">
        <v>42</v>
      </c>
      <c r="F128" t="s">
        <v>30</v>
      </c>
      <c r="G128" t="s">
        <v>20</v>
      </c>
      <c r="H128" t="s">
        <v>34</v>
      </c>
      <c r="I128">
        <v>0</v>
      </c>
      <c r="J128">
        <v>0.18</v>
      </c>
      <c r="K128">
        <v>1.22</v>
      </c>
      <c r="L128">
        <v>1.37</v>
      </c>
      <c r="M128">
        <v>288.04000000000002</v>
      </c>
      <c r="N128">
        <v>47.95</v>
      </c>
      <c r="O128">
        <f>SUM($M128:N128)</f>
        <v>335.99</v>
      </c>
      <c r="P128" s="3">
        <f>IFERROR(Table1[[#This Row],[Total_Maintenance_Cost_USD]]/Table1[[#This Row],[Labour_Hours]],0)</f>
        <v>245.24817518248173</v>
      </c>
    </row>
    <row r="129" spans="1:16">
      <c r="A129" t="s">
        <v>183</v>
      </c>
      <c r="B129" s="8">
        <v>45820</v>
      </c>
      <c r="C129" t="s">
        <v>23</v>
      </c>
      <c r="D129" t="s">
        <v>28</v>
      </c>
      <c r="E129" t="s">
        <v>37</v>
      </c>
      <c r="F129" t="s">
        <v>30</v>
      </c>
      <c r="G129" t="s">
        <v>20</v>
      </c>
      <c r="H129" t="s">
        <v>45</v>
      </c>
      <c r="I129">
        <v>0</v>
      </c>
      <c r="J129">
        <v>1.3</v>
      </c>
      <c r="K129">
        <v>0.92</v>
      </c>
      <c r="L129">
        <v>1.24</v>
      </c>
      <c r="M129">
        <v>191.5</v>
      </c>
      <c r="N129">
        <v>62</v>
      </c>
      <c r="O129">
        <f>SUM($M129:N129)</f>
        <v>253.5</v>
      </c>
      <c r="P129" s="3">
        <f>IFERROR(Table1[[#This Row],[Total_Maintenance_Cost_USD]]/Table1[[#This Row],[Labour_Hours]],0)</f>
        <v>204.43548387096774</v>
      </c>
    </row>
    <row r="130" spans="1:16">
      <c r="A130" t="s">
        <v>184</v>
      </c>
      <c r="B130" s="8">
        <v>45821</v>
      </c>
      <c r="C130" t="s">
        <v>61</v>
      </c>
      <c r="D130" t="s">
        <v>44</v>
      </c>
      <c r="E130" t="s">
        <v>54</v>
      </c>
      <c r="F130" t="s">
        <v>30</v>
      </c>
      <c r="G130" t="s">
        <v>20</v>
      </c>
      <c r="H130" t="s">
        <v>39</v>
      </c>
      <c r="I130">
        <v>1</v>
      </c>
      <c r="J130">
        <v>4.75</v>
      </c>
      <c r="K130">
        <v>0.85</v>
      </c>
      <c r="L130">
        <v>0.97</v>
      </c>
      <c r="M130">
        <v>1363.92</v>
      </c>
      <c r="N130">
        <v>38.799999999999997</v>
      </c>
      <c r="O130">
        <f>SUM($M130:N130)</f>
        <v>1402.72</v>
      </c>
      <c r="P130" s="3">
        <f>IFERROR(Table1[[#This Row],[Total_Maintenance_Cost_USD]]/Table1[[#This Row],[Labour_Hours]],0)</f>
        <v>1446.1030927835052</v>
      </c>
    </row>
    <row r="131" spans="1:16">
      <c r="A131" t="s">
        <v>185</v>
      </c>
      <c r="B131" s="8">
        <v>45821</v>
      </c>
      <c r="C131" t="s">
        <v>41</v>
      </c>
      <c r="D131" t="s">
        <v>28</v>
      </c>
      <c r="E131" t="s">
        <v>37</v>
      </c>
      <c r="F131" t="s">
        <v>38</v>
      </c>
      <c r="G131" t="s">
        <v>20</v>
      </c>
      <c r="H131" t="s">
        <v>21</v>
      </c>
      <c r="I131">
        <v>0</v>
      </c>
      <c r="J131">
        <v>0.85</v>
      </c>
      <c r="K131">
        <v>2.39</v>
      </c>
      <c r="L131">
        <v>2.0499999999999998</v>
      </c>
      <c r="M131">
        <v>153.54</v>
      </c>
      <c r="N131">
        <v>92.25</v>
      </c>
      <c r="O131">
        <f>SUM($M131:N131)</f>
        <v>245.79</v>
      </c>
      <c r="P131" s="3">
        <f>IFERROR(Table1[[#This Row],[Total_Maintenance_Cost_USD]]/Table1[[#This Row],[Labour_Hours]],0)</f>
        <v>119.89756097560976</v>
      </c>
    </row>
    <row r="132" spans="1:16">
      <c r="A132" t="s">
        <v>186</v>
      </c>
      <c r="B132" s="8">
        <v>45822</v>
      </c>
      <c r="C132" t="s">
        <v>65</v>
      </c>
      <c r="D132" t="s">
        <v>28</v>
      </c>
      <c r="E132" t="s">
        <v>33</v>
      </c>
      <c r="F132" t="s">
        <v>30</v>
      </c>
      <c r="G132" t="s">
        <v>57</v>
      </c>
      <c r="H132" t="s">
        <v>34</v>
      </c>
      <c r="I132">
        <v>0</v>
      </c>
      <c r="J132">
        <v>0.55000000000000004</v>
      </c>
      <c r="K132">
        <v>1.87</v>
      </c>
      <c r="L132">
        <v>1.8</v>
      </c>
      <c r="M132">
        <v>153.41999999999999</v>
      </c>
      <c r="N132">
        <v>72</v>
      </c>
      <c r="O132">
        <f>SUM($M132:N132)</f>
        <v>225.42</v>
      </c>
      <c r="P132" s="3">
        <f>IFERROR(Table1[[#This Row],[Total_Maintenance_Cost_USD]]/Table1[[#This Row],[Labour_Hours]],0)</f>
        <v>125.23333333333332</v>
      </c>
    </row>
    <row r="133" spans="1:16">
      <c r="A133" t="s">
        <v>187</v>
      </c>
      <c r="B133" s="8">
        <v>45822</v>
      </c>
      <c r="C133" t="s">
        <v>32</v>
      </c>
      <c r="D133" t="s">
        <v>28</v>
      </c>
      <c r="E133" t="s">
        <v>29</v>
      </c>
      <c r="F133" t="s">
        <v>38</v>
      </c>
      <c r="G133" t="s">
        <v>20</v>
      </c>
      <c r="H133" t="s">
        <v>39</v>
      </c>
      <c r="I133">
        <v>0</v>
      </c>
      <c r="J133">
        <v>0.71</v>
      </c>
      <c r="K133">
        <v>1.97</v>
      </c>
      <c r="L133">
        <v>1.79</v>
      </c>
      <c r="M133">
        <v>143.34</v>
      </c>
      <c r="N133">
        <v>71.599999999999994</v>
      </c>
      <c r="O133">
        <f>SUM($M133:N133)</f>
        <v>214.94</v>
      </c>
      <c r="P133" s="3">
        <f>IFERROR(Table1[[#This Row],[Total_Maintenance_Cost_USD]]/Table1[[#This Row],[Labour_Hours]],0)</f>
        <v>120.07821229050279</v>
      </c>
    </row>
    <row r="134" spans="1:16">
      <c r="A134" t="s">
        <v>188</v>
      </c>
      <c r="B134" s="8">
        <v>45822</v>
      </c>
      <c r="C134" t="s">
        <v>36</v>
      </c>
      <c r="D134" t="s">
        <v>44</v>
      </c>
      <c r="E134" t="s">
        <v>18</v>
      </c>
      <c r="F134" t="s">
        <v>62</v>
      </c>
      <c r="G134" t="s">
        <v>20</v>
      </c>
      <c r="H134" t="s">
        <v>39</v>
      </c>
      <c r="I134">
        <v>1</v>
      </c>
      <c r="J134">
        <v>2.61</v>
      </c>
      <c r="K134">
        <v>1.84</v>
      </c>
      <c r="L134">
        <v>2.1800000000000002</v>
      </c>
      <c r="M134">
        <v>1132.18</v>
      </c>
      <c r="N134">
        <v>76.3</v>
      </c>
      <c r="O134">
        <f>SUM($M134:N134)</f>
        <v>1208.48</v>
      </c>
      <c r="P134" s="3">
        <f>IFERROR(Table1[[#This Row],[Total_Maintenance_Cost_USD]]/Table1[[#This Row],[Labour_Hours]],0)</f>
        <v>554.34862385321094</v>
      </c>
    </row>
    <row r="135" spans="1:16">
      <c r="A135" t="s">
        <v>189</v>
      </c>
      <c r="B135" s="8">
        <v>45824</v>
      </c>
      <c r="C135" t="s">
        <v>16</v>
      </c>
      <c r="D135" t="s">
        <v>44</v>
      </c>
      <c r="E135" t="s">
        <v>47</v>
      </c>
      <c r="F135" t="s">
        <v>30</v>
      </c>
      <c r="G135" t="s">
        <v>20</v>
      </c>
      <c r="H135" t="s">
        <v>21</v>
      </c>
      <c r="I135">
        <v>1</v>
      </c>
      <c r="J135">
        <v>4.5199999999999996</v>
      </c>
      <c r="K135">
        <v>4.3600000000000003</v>
      </c>
      <c r="L135">
        <v>4.41</v>
      </c>
      <c r="M135">
        <v>671.57</v>
      </c>
      <c r="N135">
        <v>198.45</v>
      </c>
      <c r="O135">
        <f>SUM($M135:N135)</f>
        <v>870.02</v>
      </c>
      <c r="P135" s="3">
        <f>IFERROR(Table1[[#This Row],[Total_Maintenance_Cost_USD]]/Table1[[#This Row],[Labour_Hours]],0)</f>
        <v>197.28344671201813</v>
      </c>
    </row>
    <row r="136" spans="1:16">
      <c r="A136" t="s">
        <v>190</v>
      </c>
      <c r="B136" s="8">
        <v>45824</v>
      </c>
      <c r="C136" t="s">
        <v>49</v>
      </c>
      <c r="D136" t="s">
        <v>17</v>
      </c>
      <c r="E136" t="s">
        <v>68</v>
      </c>
      <c r="F136" t="s">
        <v>19</v>
      </c>
      <c r="G136" t="s">
        <v>20</v>
      </c>
      <c r="H136" t="s">
        <v>69</v>
      </c>
      <c r="I136">
        <v>1</v>
      </c>
      <c r="J136">
        <v>8.7200000000000006</v>
      </c>
      <c r="K136">
        <v>6.43</v>
      </c>
      <c r="L136">
        <v>7.24</v>
      </c>
      <c r="M136">
        <v>1618.3</v>
      </c>
      <c r="N136">
        <v>325.8</v>
      </c>
      <c r="O136">
        <f>SUM($M136:N136)</f>
        <v>1944.1</v>
      </c>
      <c r="P136" s="3">
        <f>IFERROR(Table1[[#This Row],[Total_Maintenance_Cost_USD]]/Table1[[#This Row],[Labour_Hours]],0)</f>
        <v>268.52209944751377</v>
      </c>
    </row>
    <row r="137" spans="1:16">
      <c r="A137" t="s">
        <v>191</v>
      </c>
      <c r="B137" s="8">
        <v>45825</v>
      </c>
      <c r="C137" t="s">
        <v>61</v>
      </c>
      <c r="D137" t="s">
        <v>44</v>
      </c>
      <c r="E137" t="s">
        <v>18</v>
      </c>
      <c r="F137" t="s">
        <v>30</v>
      </c>
      <c r="G137" t="s">
        <v>20</v>
      </c>
      <c r="H137" t="s">
        <v>55</v>
      </c>
      <c r="I137">
        <v>1</v>
      </c>
      <c r="J137">
        <v>2.23</v>
      </c>
      <c r="K137">
        <v>1.56</v>
      </c>
      <c r="L137">
        <v>1.76</v>
      </c>
      <c r="M137">
        <v>41.47</v>
      </c>
      <c r="N137">
        <v>79.2</v>
      </c>
      <c r="O137">
        <f>SUM($M137:N137)</f>
        <v>120.67</v>
      </c>
      <c r="P137" s="3">
        <f>IFERROR(Table1[[#This Row],[Total_Maintenance_Cost_USD]]/Table1[[#This Row],[Labour_Hours]],0)</f>
        <v>68.5625</v>
      </c>
    </row>
    <row r="138" spans="1:16">
      <c r="A138" t="s">
        <v>192</v>
      </c>
      <c r="B138" s="8">
        <v>45826</v>
      </c>
      <c r="C138" t="s">
        <v>53</v>
      </c>
      <c r="D138" t="s">
        <v>28</v>
      </c>
      <c r="E138" t="s">
        <v>37</v>
      </c>
      <c r="F138" t="s">
        <v>38</v>
      </c>
      <c r="G138" t="s">
        <v>20</v>
      </c>
      <c r="H138" t="s">
        <v>25</v>
      </c>
      <c r="I138">
        <v>0</v>
      </c>
      <c r="J138">
        <v>0.77</v>
      </c>
      <c r="K138">
        <v>0.57999999999999996</v>
      </c>
      <c r="L138">
        <v>0.74</v>
      </c>
      <c r="M138">
        <v>193.89</v>
      </c>
      <c r="N138">
        <v>29.6</v>
      </c>
      <c r="O138">
        <f>SUM($M138:N138)</f>
        <v>223.48999999999998</v>
      </c>
      <c r="P138" s="3">
        <f>IFERROR(Table1[[#This Row],[Total_Maintenance_Cost_USD]]/Table1[[#This Row],[Labour_Hours]],0)</f>
        <v>302.01351351351349</v>
      </c>
    </row>
    <row r="139" spans="1:16">
      <c r="A139" t="s">
        <v>193</v>
      </c>
      <c r="B139" s="8">
        <v>45826</v>
      </c>
      <c r="C139" t="s">
        <v>53</v>
      </c>
      <c r="D139" t="s">
        <v>28</v>
      </c>
      <c r="E139" t="s">
        <v>37</v>
      </c>
      <c r="F139" t="s">
        <v>38</v>
      </c>
      <c r="G139" t="s">
        <v>20</v>
      </c>
      <c r="H139" t="s">
        <v>25</v>
      </c>
      <c r="I139">
        <v>0</v>
      </c>
      <c r="J139">
        <v>0.78</v>
      </c>
      <c r="K139">
        <v>1.9</v>
      </c>
      <c r="L139">
        <v>2.31</v>
      </c>
      <c r="M139">
        <v>212.75</v>
      </c>
      <c r="N139">
        <v>103.95</v>
      </c>
      <c r="O139">
        <f>SUM($M139:N139)</f>
        <v>316.7</v>
      </c>
      <c r="P139" s="3">
        <f>IFERROR(Table1[[#This Row],[Total_Maintenance_Cost_USD]]/Table1[[#This Row],[Labour_Hours]],0)</f>
        <v>137.09956709956708</v>
      </c>
    </row>
    <row r="140" spans="1:16">
      <c r="A140" t="s">
        <v>194</v>
      </c>
      <c r="B140" s="8">
        <v>45827</v>
      </c>
      <c r="C140" t="s">
        <v>79</v>
      </c>
      <c r="D140" t="s">
        <v>28</v>
      </c>
      <c r="E140" t="s">
        <v>37</v>
      </c>
      <c r="F140" t="s">
        <v>38</v>
      </c>
      <c r="G140" t="s">
        <v>20</v>
      </c>
      <c r="H140" t="s">
        <v>39</v>
      </c>
      <c r="I140">
        <v>0</v>
      </c>
      <c r="J140">
        <v>0.8</v>
      </c>
      <c r="K140">
        <v>0.41</v>
      </c>
      <c r="L140">
        <v>0.53</v>
      </c>
      <c r="M140">
        <v>129.63999999999999</v>
      </c>
      <c r="N140">
        <v>23.85</v>
      </c>
      <c r="O140">
        <f>SUM($M140:N140)</f>
        <v>153.48999999999998</v>
      </c>
      <c r="P140" s="3">
        <f>IFERROR(Table1[[#This Row],[Total_Maintenance_Cost_USD]]/Table1[[#This Row],[Labour_Hours]],0)</f>
        <v>289.60377358490558</v>
      </c>
    </row>
    <row r="141" spans="1:16">
      <c r="A141" t="s">
        <v>195</v>
      </c>
      <c r="B141" s="8">
        <v>45828</v>
      </c>
      <c r="C141" t="s">
        <v>16</v>
      </c>
      <c r="D141" t="s">
        <v>28</v>
      </c>
      <c r="E141" t="s">
        <v>42</v>
      </c>
      <c r="F141" t="s">
        <v>38</v>
      </c>
      <c r="G141" t="s">
        <v>20</v>
      </c>
      <c r="H141" t="s">
        <v>69</v>
      </c>
      <c r="I141">
        <v>0</v>
      </c>
      <c r="J141">
        <v>1.33</v>
      </c>
      <c r="K141">
        <v>2.67</v>
      </c>
      <c r="L141">
        <v>2.88</v>
      </c>
      <c r="M141">
        <v>230.83</v>
      </c>
      <c r="N141">
        <v>129.6</v>
      </c>
      <c r="O141">
        <f>SUM($M141:N141)</f>
        <v>360.43</v>
      </c>
      <c r="P141" s="3">
        <f>IFERROR(Table1[[#This Row],[Total_Maintenance_Cost_USD]]/Table1[[#This Row],[Labour_Hours]],0)</f>
        <v>125.14930555555556</v>
      </c>
    </row>
    <row r="142" spans="1:16">
      <c r="A142" t="s">
        <v>196</v>
      </c>
      <c r="B142" s="8">
        <v>45828</v>
      </c>
      <c r="C142" t="s">
        <v>61</v>
      </c>
      <c r="D142" t="s">
        <v>44</v>
      </c>
      <c r="E142" t="s">
        <v>47</v>
      </c>
      <c r="F142" t="s">
        <v>62</v>
      </c>
      <c r="G142" t="s">
        <v>63</v>
      </c>
      <c r="H142" t="s">
        <v>45</v>
      </c>
      <c r="I142">
        <v>1</v>
      </c>
      <c r="J142">
        <v>3.38</v>
      </c>
      <c r="K142">
        <v>4.37</v>
      </c>
      <c r="L142">
        <v>5.33</v>
      </c>
      <c r="M142">
        <v>745.19</v>
      </c>
      <c r="N142">
        <v>266.5</v>
      </c>
      <c r="O142">
        <f>SUM($M142:N142)</f>
        <v>1011.69</v>
      </c>
      <c r="P142" s="3">
        <f>IFERROR(Table1[[#This Row],[Total_Maintenance_Cost_USD]]/Table1[[#This Row],[Labour_Hours]],0)</f>
        <v>189.81050656660415</v>
      </c>
    </row>
    <row r="143" spans="1:16">
      <c r="A143" t="s">
        <v>197</v>
      </c>
      <c r="B143" s="8">
        <v>45829</v>
      </c>
      <c r="C143" t="s">
        <v>23</v>
      </c>
      <c r="D143" t="s">
        <v>44</v>
      </c>
      <c r="E143" t="s">
        <v>54</v>
      </c>
      <c r="F143" t="s">
        <v>30</v>
      </c>
      <c r="G143" t="s">
        <v>20</v>
      </c>
      <c r="H143" t="s">
        <v>58</v>
      </c>
      <c r="I143">
        <v>1</v>
      </c>
      <c r="J143">
        <v>3.91</v>
      </c>
      <c r="K143">
        <v>2.35</v>
      </c>
      <c r="L143">
        <v>1.94</v>
      </c>
      <c r="M143">
        <v>1049.04</v>
      </c>
      <c r="N143">
        <v>87.3</v>
      </c>
      <c r="O143">
        <f>SUM($M143:N143)</f>
        <v>1136.3399999999999</v>
      </c>
      <c r="P143" s="3">
        <f>IFERROR(Table1[[#This Row],[Total_Maintenance_Cost_USD]]/Table1[[#This Row],[Labour_Hours]],0)</f>
        <v>585.74226804123714</v>
      </c>
    </row>
    <row r="144" spans="1:16">
      <c r="A144" t="s">
        <v>198</v>
      </c>
      <c r="B144" s="8">
        <v>45829</v>
      </c>
      <c r="C144" t="s">
        <v>41</v>
      </c>
      <c r="D144" t="s">
        <v>17</v>
      </c>
      <c r="E144" t="s">
        <v>24</v>
      </c>
      <c r="F144" t="s">
        <v>62</v>
      </c>
      <c r="G144" t="s">
        <v>63</v>
      </c>
      <c r="H144" t="s">
        <v>45</v>
      </c>
      <c r="I144">
        <v>1</v>
      </c>
      <c r="J144">
        <v>11.34</v>
      </c>
      <c r="K144">
        <v>8.19</v>
      </c>
      <c r="L144">
        <v>7.18</v>
      </c>
      <c r="M144">
        <v>1361.37</v>
      </c>
      <c r="N144">
        <v>323.10000000000002</v>
      </c>
      <c r="O144">
        <f>SUM($M144:N144)</f>
        <v>1684.4699999999998</v>
      </c>
      <c r="P144" s="3">
        <f>IFERROR(Table1[[#This Row],[Total_Maintenance_Cost_USD]]/Table1[[#This Row],[Labour_Hours]],0)</f>
        <v>234.60584958217268</v>
      </c>
    </row>
    <row r="145" spans="1:16">
      <c r="A145" t="s">
        <v>199</v>
      </c>
      <c r="B145" s="8">
        <v>45830</v>
      </c>
      <c r="C145" t="s">
        <v>23</v>
      </c>
      <c r="D145" t="s">
        <v>28</v>
      </c>
      <c r="E145" t="s">
        <v>42</v>
      </c>
      <c r="F145" t="s">
        <v>30</v>
      </c>
      <c r="G145" t="s">
        <v>20</v>
      </c>
      <c r="H145" t="s">
        <v>25</v>
      </c>
      <c r="I145">
        <v>0</v>
      </c>
      <c r="J145">
        <v>0.05</v>
      </c>
      <c r="K145">
        <v>0.56999999999999995</v>
      </c>
      <c r="L145">
        <v>0.75</v>
      </c>
      <c r="M145">
        <v>222.34</v>
      </c>
      <c r="N145">
        <v>30</v>
      </c>
      <c r="O145">
        <f>SUM($M145:N145)</f>
        <v>252.34</v>
      </c>
      <c r="P145" s="3">
        <f>IFERROR(Table1[[#This Row],[Total_Maintenance_Cost_USD]]/Table1[[#This Row],[Labour_Hours]],0)</f>
        <v>336.45333333333332</v>
      </c>
    </row>
    <row r="146" spans="1:16">
      <c r="A146" t="s">
        <v>200</v>
      </c>
      <c r="B146" s="8">
        <v>45830</v>
      </c>
      <c r="C146" t="s">
        <v>32</v>
      </c>
      <c r="D146" t="s">
        <v>44</v>
      </c>
      <c r="E146" t="s">
        <v>51</v>
      </c>
      <c r="F146" t="s">
        <v>62</v>
      </c>
      <c r="G146" t="s">
        <v>20</v>
      </c>
      <c r="H146" t="s">
        <v>58</v>
      </c>
      <c r="I146">
        <v>1</v>
      </c>
      <c r="J146">
        <v>3.83</v>
      </c>
      <c r="K146">
        <v>6.02</v>
      </c>
      <c r="L146">
        <v>5.83</v>
      </c>
      <c r="M146">
        <v>806.38</v>
      </c>
      <c r="N146">
        <v>233.2</v>
      </c>
      <c r="O146">
        <f>SUM($M146:N146)</f>
        <v>1039.58</v>
      </c>
      <c r="P146" s="3">
        <f>IFERROR(Table1[[#This Row],[Total_Maintenance_Cost_USD]]/Table1[[#This Row],[Labour_Hours]],0)</f>
        <v>178.3156089193825</v>
      </c>
    </row>
    <row r="147" spans="1:16">
      <c r="A147" t="s">
        <v>201</v>
      </c>
      <c r="B147" s="8">
        <v>45831</v>
      </c>
      <c r="C147" t="s">
        <v>65</v>
      </c>
      <c r="D147" t="s">
        <v>28</v>
      </c>
      <c r="E147" t="s">
        <v>42</v>
      </c>
      <c r="F147" t="s">
        <v>38</v>
      </c>
      <c r="G147" t="s">
        <v>20</v>
      </c>
      <c r="H147" t="s">
        <v>39</v>
      </c>
      <c r="I147">
        <v>0</v>
      </c>
      <c r="J147">
        <v>0.68</v>
      </c>
      <c r="K147">
        <v>1.22</v>
      </c>
      <c r="L147">
        <v>1.02</v>
      </c>
      <c r="M147">
        <v>84.78</v>
      </c>
      <c r="N147">
        <v>35.700000000000003</v>
      </c>
      <c r="O147">
        <f>SUM($M147:N147)</f>
        <v>120.48</v>
      </c>
      <c r="P147" s="3">
        <f>IFERROR(Table1[[#This Row],[Total_Maintenance_Cost_USD]]/Table1[[#This Row],[Labour_Hours]],0)</f>
        <v>118.11764705882354</v>
      </c>
    </row>
    <row r="148" spans="1:16">
      <c r="A148" t="s">
        <v>202</v>
      </c>
      <c r="B148" s="8">
        <v>45834</v>
      </c>
      <c r="C148" t="s">
        <v>72</v>
      </c>
      <c r="D148" t="s">
        <v>28</v>
      </c>
      <c r="E148" t="s">
        <v>29</v>
      </c>
      <c r="F148" t="s">
        <v>30</v>
      </c>
      <c r="G148" t="s">
        <v>20</v>
      </c>
      <c r="H148" t="s">
        <v>55</v>
      </c>
      <c r="I148">
        <v>0</v>
      </c>
      <c r="J148">
        <v>1.03</v>
      </c>
      <c r="K148">
        <v>1.37</v>
      </c>
      <c r="L148">
        <v>1.48</v>
      </c>
      <c r="M148">
        <v>218.43</v>
      </c>
      <c r="N148">
        <v>51.8</v>
      </c>
      <c r="O148">
        <f>SUM($M148:N148)</f>
        <v>270.23</v>
      </c>
      <c r="P148" s="3">
        <f>IFERROR(Table1[[#This Row],[Total_Maintenance_Cost_USD]]/Table1[[#This Row],[Labour_Hours]],0)</f>
        <v>182.58783783783784</v>
      </c>
    </row>
    <row r="149" spans="1:16">
      <c r="A149" t="s">
        <v>203</v>
      </c>
      <c r="B149" s="8">
        <v>45835</v>
      </c>
      <c r="C149" t="s">
        <v>27</v>
      </c>
      <c r="D149" t="s">
        <v>28</v>
      </c>
      <c r="E149" t="s">
        <v>33</v>
      </c>
      <c r="F149" t="s">
        <v>30</v>
      </c>
      <c r="G149" t="s">
        <v>20</v>
      </c>
      <c r="H149" t="s">
        <v>21</v>
      </c>
      <c r="I149">
        <v>0</v>
      </c>
      <c r="J149">
        <v>0.01</v>
      </c>
      <c r="K149">
        <v>0.28000000000000003</v>
      </c>
      <c r="L149">
        <v>0.5</v>
      </c>
      <c r="M149">
        <v>50.06</v>
      </c>
      <c r="N149">
        <v>22.5</v>
      </c>
      <c r="O149">
        <f>SUM($M149:N149)</f>
        <v>72.56</v>
      </c>
      <c r="P149" s="3">
        <f>IFERROR(Table1[[#This Row],[Total_Maintenance_Cost_USD]]/Table1[[#This Row],[Labour_Hours]],0)</f>
        <v>145.12</v>
      </c>
    </row>
    <row r="150" spans="1:16">
      <c r="A150" t="s">
        <v>204</v>
      </c>
      <c r="B150" s="8">
        <v>45837</v>
      </c>
      <c r="C150" t="s">
        <v>41</v>
      </c>
      <c r="D150" t="s">
        <v>44</v>
      </c>
      <c r="E150" t="s">
        <v>18</v>
      </c>
      <c r="F150" t="s">
        <v>62</v>
      </c>
      <c r="G150" t="s">
        <v>20</v>
      </c>
      <c r="H150" t="s">
        <v>69</v>
      </c>
      <c r="I150">
        <v>1</v>
      </c>
      <c r="J150">
        <v>0.24</v>
      </c>
      <c r="K150">
        <v>5.85</v>
      </c>
      <c r="L150">
        <v>7.32</v>
      </c>
      <c r="M150">
        <v>667.97</v>
      </c>
      <c r="N150">
        <v>329.4</v>
      </c>
      <c r="O150">
        <f>SUM($M150:N150)</f>
        <v>997.37</v>
      </c>
      <c r="P150" s="3">
        <f>IFERROR(Table1[[#This Row],[Total_Maintenance_Cost_USD]]/Table1[[#This Row],[Labour_Hours]],0)</f>
        <v>136.25273224043715</v>
      </c>
    </row>
    <row r="151" spans="1:16">
      <c r="A151" t="s">
        <v>205</v>
      </c>
      <c r="B151" s="8">
        <v>45837</v>
      </c>
      <c r="C151" t="s">
        <v>72</v>
      </c>
      <c r="D151" t="s">
        <v>28</v>
      </c>
      <c r="E151" t="s">
        <v>29</v>
      </c>
      <c r="F151" t="s">
        <v>38</v>
      </c>
      <c r="G151" t="s">
        <v>20</v>
      </c>
      <c r="H151" t="s">
        <v>34</v>
      </c>
      <c r="I151">
        <v>0</v>
      </c>
      <c r="J151">
        <v>0.63</v>
      </c>
      <c r="K151">
        <v>0.95</v>
      </c>
      <c r="L151">
        <v>0.85</v>
      </c>
      <c r="M151">
        <v>180.99</v>
      </c>
      <c r="N151">
        <v>29.75</v>
      </c>
      <c r="O151">
        <f>SUM($M151:N151)</f>
        <v>210.74</v>
      </c>
      <c r="P151" s="3">
        <f>IFERROR(Table1[[#This Row],[Total_Maintenance_Cost_USD]]/Table1[[#This Row],[Labour_Hours]],0)</f>
        <v>247.92941176470589</v>
      </c>
    </row>
    <row r="152" spans="1:16">
      <c r="A152" t="s">
        <v>206</v>
      </c>
      <c r="B152" s="8">
        <v>45838</v>
      </c>
      <c r="C152" t="s">
        <v>65</v>
      </c>
      <c r="D152" t="s">
        <v>28</v>
      </c>
      <c r="E152" t="s">
        <v>37</v>
      </c>
      <c r="F152" t="s">
        <v>38</v>
      </c>
      <c r="G152" t="s">
        <v>20</v>
      </c>
      <c r="H152" t="s">
        <v>69</v>
      </c>
      <c r="I152">
        <v>0</v>
      </c>
      <c r="J152">
        <v>0.16</v>
      </c>
      <c r="K152">
        <v>0.84</v>
      </c>
      <c r="L152">
        <v>1.06</v>
      </c>
      <c r="M152">
        <v>267.3</v>
      </c>
      <c r="N152">
        <v>47.7</v>
      </c>
      <c r="O152">
        <f>SUM($M152:N152)</f>
        <v>315</v>
      </c>
      <c r="P152" s="3">
        <f>IFERROR(Table1[[#This Row],[Total_Maintenance_Cost_USD]]/Table1[[#This Row],[Labour_Hours]],0)</f>
        <v>297.16981132075472</v>
      </c>
    </row>
    <row r="153" spans="1:16">
      <c r="A153" t="s">
        <v>207</v>
      </c>
      <c r="B153" s="8">
        <v>45838</v>
      </c>
      <c r="C153" t="s">
        <v>61</v>
      </c>
      <c r="D153" t="s">
        <v>28</v>
      </c>
      <c r="E153" t="s">
        <v>29</v>
      </c>
      <c r="F153" t="s">
        <v>38</v>
      </c>
      <c r="G153" t="s">
        <v>63</v>
      </c>
      <c r="H153" t="s">
        <v>34</v>
      </c>
      <c r="I153">
        <v>0</v>
      </c>
      <c r="J153">
        <v>0.72</v>
      </c>
      <c r="K153">
        <v>1.6</v>
      </c>
      <c r="L153">
        <v>1.79</v>
      </c>
      <c r="M153">
        <v>53.43</v>
      </c>
      <c r="N153">
        <v>71.599999999999994</v>
      </c>
      <c r="O153">
        <f>SUM($M153:N153)</f>
        <v>125.03</v>
      </c>
      <c r="P153" s="3">
        <f>IFERROR(Table1[[#This Row],[Total_Maintenance_Cost_USD]]/Table1[[#This Row],[Labour_Hours]],0)</f>
        <v>69.849162011173178</v>
      </c>
    </row>
    <row r="154" spans="1:16">
      <c r="A154" t="s">
        <v>208</v>
      </c>
      <c r="B154" s="8">
        <v>45838</v>
      </c>
      <c r="C154" t="s">
        <v>79</v>
      </c>
      <c r="D154" t="s">
        <v>44</v>
      </c>
      <c r="E154" t="s">
        <v>47</v>
      </c>
      <c r="F154" t="s">
        <v>30</v>
      </c>
      <c r="G154" t="s">
        <v>20</v>
      </c>
      <c r="H154" t="s">
        <v>34</v>
      </c>
      <c r="I154">
        <v>1</v>
      </c>
      <c r="J154">
        <v>0.81</v>
      </c>
      <c r="K154">
        <v>6.31</v>
      </c>
      <c r="L154">
        <v>7.92</v>
      </c>
      <c r="M154">
        <v>787.56</v>
      </c>
      <c r="N154">
        <v>316.8</v>
      </c>
      <c r="O154">
        <f>SUM($M154:N154)</f>
        <v>1104.3599999999999</v>
      </c>
      <c r="P154" s="3">
        <f>IFERROR(Table1[[#This Row],[Total_Maintenance_Cost_USD]]/Table1[[#This Row],[Labour_Hours]],0)</f>
        <v>139.43939393939394</v>
      </c>
    </row>
    <row r="155" spans="1:16">
      <c r="A155" t="s">
        <v>209</v>
      </c>
      <c r="B155" s="8">
        <v>45839</v>
      </c>
      <c r="C155" t="s">
        <v>53</v>
      </c>
      <c r="D155" t="s">
        <v>28</v>
      </c>
      <c r="E155" t="s">
        <v>42</v>
      </c>
      <c r="F155" t="s">
        <v>30</v>
      </c>
      <c r="G155" t="s">
        <v>20</v>
      </c>
      <c r="H155" t="s">
        <v>55</v>
      </c>
      <c r="I155">
        <v>0</v>
      </c>
      <c r="J155">
        <v>0.55000000000000004</v>
      </c>
      <c r="K155">
        <v>1</v>
      </c>
      <c r="L155">
        <v>0.83</v>
      </c>
      <c r="M155">
        <v>240.96</v>
      </c>
      <c r="N155">
        <v>33.200000000000003</v>
      </c>
      <c r="O155">
        <f>SUM($M155:N155)</f>
        <v>274.16000000000003</v>
      </c>
      <c r="P155" s="3">
        <f>IFERROR(Table1[[#This Row],[Total_Maintenance_Cost_USD]]/Table1[[#This Row],[Labour_Hours]],0)</f>
        <v>330.31325301204822</v>
      </c>
    </row>
    <row r="156" spans="1:16">
      <c r="A156" t="s">
        <v>210</v>
      </c>
      <c r="B156" s="8">
        <v>45839</v>
      </c>
      <c r="C156" t="s">
        <v>32</v>
      </c>
      <c r="D156" t="s">
        <v>44</v>
      </c>
      <c r="E156" t="s">
        <v>51</v>
      </c>
      <c r="F156" t="s">
        <v>30</v>
      </c>
      <c r="G156" t="s">
        <v>20</v>
      </c>
      <c r="H156" t="s">
        <v>25</v>
      </c>
      <c r="I156">
        <v>1</v>
      </c>
      <c r="J156">
        <v>5.24</v>
      </c>
      <c r="K156">
        <v>4.55</v>
      </c>
      <c r="L156">
        <v>4.88</v>
      </c>
      <c r="M156">
        <v>649.47</v>
      </c>
      <c r="N156">
        <v>219.6</v>
      </c>
      <c r="O156">
        <f>SUM($M156:N156)</f>
        <v>869.07</v>
      </c>
      <c r="P156" s="3">
        <f>IFERROR(Table1[[#This Row],[Total_Maintenance_Cost_USD]]/Table1[[#This Row],[Labour_Hours]],0)</f>
        <v>178.08811475409837</v>
      </c>
    </row>
    <row r="157" spans="1:16">
      <c r="A157" t="s">
        <v>211</v>
      </c>
      <c r="B157" s="8">
        <v>45840</v>
      </c>
      <c r="C157" t="s">
        <v>16</v>
      </c>
      <c r="D157" t="s">
        <v>44</v>
      </c>
      <c r="E157" t="s">
        <v>86</v>
      </c>
      <c r="F157" t="s">
        <v>62</v>
      </c>
      <c r="G157" t="s">
        <v>20</v>
      </c>
      <c r="H157" t="s">
        <v>69</v>
      </c>
      <c r="I157">
        <v>1</v>
      </c>
      <c r="J157">
        <v>1.02</v>
      </c>
      <c r="K157">
        <v>7.43</v>
      </c>
      <c r="L157">
        <v>8.15</v>
      </c>
      <c r="M157">
        <v>999.25</v>
      </c>
      <c r="N157">
        <v>366.75</v>
      </c>
      <c r="O157">
        <f>SUM($M157:N157)</f>
        <v>1366</v>
      </c>
      <c r="P157" s="3">
        <f>IFERROR(Table1[[#This Row],[Total_Maintenance_Cost_USD]]/Table1[[#This Row],[Labour_Hours]],0)</f>
        <v>167.60736196319019</v>
      </c>
    </row>
    <row r="158" spans="1:16">
      <c r="A158" t="s">
        <v>212</v>
      </c>
      <c r="B158" s="8">
        <v>45840</v>
      </c>
      <c r="C158" t="s">
        <v>16</v>
      </c>
      <c r="D158" t="s">
        <v>28</v>
      </c>
      <c r="E158" t="s">
        <v>42</v>
      </c>
      <c r="F158" t="s">
        <v>38</v>
      </c>
      <c r="G158" t="s">
        <v>20</v>
      </c>
      <c r="H158" t="s">
        <v>69</v>
      </c>
      <c r="I158">
        <v>0</v>
      </c>
      <c r="J158">
        <v>1.59</v>
      </c>
      <c r="K158">
        <v>2.36</v>
      </c>
      <c r="L158">
        <v>2.15</v>
      </c>
      <c r="M158">
        <v>85.49</v>
      </c>
      <c r="N158">
        <v>75.25</v>
      </c>
      <c r="O158">
        <f>SUM($M158:N158)</f>
        <v>160.74</v>
      </c>
      <c r="P158" s="3">
        <f>IFERROR(Table1[[#This Row],[Total_Maintenance_Cost_USD]]/Table1[[#This Row],[Labour_Hours]],0)</f>
        <v>74.762790697674433</v>
      </c>
    </row>
    <row r="159" spans="1:16">
      <c r="A159" t="s">
        <v>213</v>
      </c>
      <c r="B159" s="8">
        <v>45842</v>
      </c>
      <c r="C159" t="s">
        <v>16</v>
      </c>
      <c r="D159" t="s">
        <v>44</v>
      </c>
      <c r="E159" t="s">
        <v>54</v>
      </c>
      <c r="F159" t="s">
        <v>62</v>
      </c>
      <c r="G159" t="s">
        <v>20</v>
      </c>
      <c r="H159" t="s">
        <v>58</v>
      </c>
      <c r="I159">
        <v>1</v>
      </c>
      <c r="J159">
        <v>4.91</v>
      </c>
      <c r="K159">
        <v>9.25</v>
      </c>
      <c r="L159">
        <v>11.29</v>
      </c>
      <c r="M159">
        <v>216.23</v>
      </c>
      <c r="N159">
        <v>451.6</v>
      </c>
      <c r="O159">
        <f>SUM($M159:N159)</f>
        <v>667.83</v>
      </c>
      <c r="P159" s="3">
        <f>IFERROR(Table1[[#This Row],[Total_Maintenance_Cost_USD]]/Table1[[#This Row],[Labour_Hours]],0)</f>
        <v>59.152347209920293</v>
      </c>
    </row>
    <row r="160" spans="1:16">
      <c r="A160" t="s">
        <v>214</v>
      </c>
      <c r="B160" s="8">
        <v>45842</v>
      </c>
      <c r="C160" t="s">
        <v>65</v>
      </c>
      <c r="D160" t="s">
        <v>44</v>
      </c>
      <c r="E160" t="s">
        <v>68</v>
      </c>
      <c r="F160" t="s">
        <v>30</v>
      </c>
      <c r="G160" t="s">
        <v>20</v>
      </c>
      <c r="H160" t="s">
        <v>25</v>
      </c>
      <c r="I160">
        <v>1</v>
      </c>
      <c r="J160">
        <v>2.56</v>
      </c>
      <c r="K160">
        <v>0.79</v>
      </c>
      <c r="L160">
        <v>0.69</v>
      </c>
      <c r="M160">
        <v>827.51</v>
      </c>
      <c r="N160">
        <v>31.05</v>
      </c>
      <c r="O160">
        <f>SUM($M160:N160)</f>
        <v>858.56</v>
      </c>
      <c r="P160" s="3">
        <f>IFERROR(Table1[[#This Row],[Total_Maintenance_Cost_USD]]/Table1[[#This Row],[Labour_Hours]],0)</f>
        <v>1244.2898550724638</v>
      </c>
    </row>
    <row r="161" spans="1:16">
      <c r="A161" t="s">
        <v>215</v>
      </c>
      <c r="B161" s="8">
        <v>45845</v>
      </c>
      <c r="C161" t="s">
        <v>72</v>
      </c>
      <c r="D161" t="s">
        <v>44</v>
      </c>
      <c r="E161" t="s">
        <v>68</v>
      </c>
      <c r="F161" t="s">
        <v>62</v>
      </c>
      <c r="G161" t="s">
        <v>20</v>
      </c>
      <c r="H161" t="s">
        <v>45</v>
      </c>
      <c r="I161">
        <v>1</v>
      </c>
      <c r="J161">
        <v>2.37</v>
      </c>
      <c r="K161">
        <v>1.58</v>
      </c>
      <c r="L161">
        <v>1.63</v>
      </c>
      <c r="M161">
        <v>288.63</v>
      </c>
      <c r="N161">
        <v>57.05</v>
      </c>
      <c r="O161">
        <f>SUM($M161:N161)</f>
        <v>345.68</v>
      </c>
      <c r="P161" s="3">
        <f>IFERROR(Table1[[#This Row],[Total_Maintenance_Cost_USD]]/Table1[[#This Row],[Labour_Hours]],0)</f>
        <v>212.07361963190186</v>
      </c>
    </row>
    <row r="162" spans="1:16">
      <c r="A162" t="s">
        <v>216</v>
      </c>
      <c r="B162" s="8">
        <v>45848</v>
      </c>
      <c r="C162" t="s">
        <v>53</v>
      </c>
      <c r="D162" t="s">
        <v>28</v>
      </c>
      <c r="E162" t="s">
        <v>37</v>
      </c>
      <c r="F162" t="s">
        <v>38</v>
      </c>
      <c r="G162" t="s">
        <v>20</v>
      </c>
      <c r="H162" t="s">
        <v>39</v>
      </c>
      <c r="I162">
        <v>0</v>
      </c>
      <c r="J162">
        <v>0</v>
      </c>
      <c r="K162">
        <v>1.43</v>
      </c>
      <c r="L162">
        <v>1.17</v>
      </c>
      <c r="M162">
        <v>149.61000000000001</v>
      </c>
      <c r="N162">
        <v>46.8</v>
      </c>
      <c r="O162">
        <f>SUM($M162:N162)</f>
        <v>196.41000000000003</v>
      </c>
      <c r="P162" s="3">
        <f>IFERROR(Table1[[#This Row],[Total_Maintenance_Cost_USD]]/Table1[[#This Row],[Labour_Hours]],0)</f>
        <v>167.87179487179489</v>
      </c>
    </row>
    <row r="163" spans="1:16">
      <c r="A163" t="s">
        <v>217</v>
      </c>
      <c r="B163" s="8">
        <v>45850</v>
      </c>
      <c r="C163" t="s">
        <v>32</v>
      </c>
      <c r="D163" t="s">
        <v>44</v>
      </c>
      <c r="E163" t="s">
        <v>54</v>
      </c>
      <c r="F163" t="s">
        <v>30</v>
      </c>
      <c r="G163" t="s">
        <v>20</v>
      </c>
      <c r="H163" t="s">
        <v>58</v>
      </c>
      <c r="I163">
        <v>1</v>
      </c>
      <c r="J163">
        <v>4.9800000000000004</v>
      </c>
      <c r="K163">
        <v>5.39</v>
      </c>
      <c r="L163">
        <v>6.89</v>
      </c>
      <c r="M163">
        <v>754.57</v>
      </c>
      <c r="N163">
        <v>275.60000000000002</v>
      </c>
      <c r="O163">
        <f>SUM($M163:N163)</f>
        <v>1030.17</v>
      </c>
      <c r="P163" s="3">
        <f>IFERROR(Table1[[#This Row],[Total_Maintenance_Cost_USD]]/Table1[[#This Row],[Labour_Hours]],0)</f>
        <v>149.51669085631352</v>
      </c>
    </row>
    <row r="164" spans="1:16">
      <c r="A164" t="s">
        <v>218</v>
      </c>
      <c r="B164" s="8">
        <v>45855</v>
      </c>
      <c r="C164" t="s">
        <v>27</v>
      </c>
      <c r="D164" t="s">
        <v>28</v>
      </c>
      <c r="E164" t="s">
        <v>33</v>
      </c>
      <c r="F164" t="s">
        <v>38</v>
      </c>
      <c r="G164" t="s">
        <v>20</v>
      </c>
      <c r="H164" t="s">
        <v>69</v>
      </c>
      <c r="I164">
        <v>0</v>
      </c>
      <c r="J164">
        <v>0.94</v>
      </c>
      <c r="K164">
        <v>0.87</v>
      </c>
      <c r="L164">
        <v>1</v>
      </c>
      <c r="M164">
        <v>186.36</v>
      </c>
      <c r="N164">
        <v>45</v>
      </c>
      <c r="O164">
        <f>SUM($M164:N164)</f>
        <v>231.36</v>
      </c>
      <c r="P164" s="3">
        <f>IFERROR(Table1[[#This Row],[Total_Maintenance_Cost_USD]]/Table1[[#This Row],[Labour_Hours]],0)</f>
        <v>231.36</v>
      </c>
    </row>
    <row r="165" spans="1:16">
      <c r="A165" t="s">
        <v>219</v>
      </c>
      <c r="B165" s="8">
        <v>45856</v>
      </c>
      <c r="C165" t="s">
        <v>16</v>
      </c>
      <c r="D165" t="s">
        <v>44</v>
      </c>
      <c r="E165" t="s">
        <v>86</v>
      </c>
      <c r="F165" t="s">
        <v>30</v>
      </c>
      <c r="G165" t="s">
        <v>63</v>
      </c>
      <c r="H165" t="s">
        <v>58</v>
      </c>
      <c r="I165">
        <v>1</v>
      </c>
      <c r="J165">
        <v>1.29</v>
      </c>
      <c r="K165">
        <v>0.68</v>
      </c>
      <c r="L165">
        <v>0.72</v>
      </c>
      <c r="M165">
        <v>941.04</v>
      </c>
      <c r="N165">
        <v>32.4</v>
      </c>
      <c r="O165">
        <f>SUM($M165:N165)</f>
        <v>973.43999999999994</v>
      </c>
      <c r="P165" s="3">
        <f>IFERROR(Table1[[#This Row],[Total_Maintenance_Cost_USD]]/Table1[[#This Row],[Labour_Hours]],0)</f>
        <v>1352</v>
      </c>
    </row>
    <row r="166" spans="1:16">
      <c r="A166" t="s">
        <v>220</v>
      </c>
      <c r="B166" s="8">
        <v>45857</v>
      </c>
      <c r="C166" t="s">
        <v>65</v>
      </c>
      <c r="D166" t="s">
        <v>44</v>
      </c>
      <c r="E166" t="s">
        <v>24</v>
      </c>
      <c r="F166" t="s">
        <v>30</v>
      </c>
      <c r="G166" t="s">
        <v>20</v>
      </c>
      <c r="H166" t="s">
        <v>21</v>
      </c>
      <c r="I166">
        <v>1</v>
      </c>
      <c r="J166">
        <v>2.08</v>
      </c>
      <c r="K166">
        <v>2.09</v>
      </c>
      <c r="L166">
        <v>2.37</v>
      </c>
      <c r="M166">
        <v>426.18</v>
      </c>
      <c r="N166">
        <v>106.65</v>
      </c>
      <c r="O166">
        <f>SUM($M166:N166)</f>
        <v>532.83000000000004</v>
      </c>
      <c r="P166" s="3">
        <f>IFERROR(Table1[[#This Row],[Total_Maintenance_Cost_USD]]/Table1[[#This Row],[Labour_Hours]],0)</f>
        <v>224.82278481012659</v>
      </c>
    </row>
    <row r="167" spans="1:16">
      <c r="A167" t="s">
        <v>221</v>
      </c>
      <c r="B167" s="8">
        <v>45857</v>
      </c>
      <c r="C167" t="s">
        <v>41</v>
      </c>
      <c r="D167" t="s">
        <v>28</v>
      </c>
      <c r="E167" t="s">
        <v>37</v>
      </c>
      <c r="F167" t="s">
        <v>30</v>
      </c>
      <c r="G167" t="s">
        <v>63</v>
      </c>
      <c r="H167" t="s">
        <v>45</v>
      </c>
      <c r="I167">
        <v>0</v>
      </c>
      <c r="J167">
        <v>1.25</v>
      </c>
      <c r="K167">
        <v>1.44</v>
      </c>
      <c r="L167">
        <v>1.19</v>
      </c>
      <c r="M167">
        <v>369.28</v>
      </c>
      <c r="N167">
        <v>53.55</v>
      </c>
      <c r="O167">
        <f>SUM($M167:N167)</f>
        <v>422.83</v>
      </c>
      <c r="P167" s="3">
        <f>IFERROR(Table1[[#This Row],[Total_Maintenance_Cost_USD]]/Table1[[#This Row],[Labour_Hours]],0)</f>
        <v>355.31932773109241</v>
      </c>
    </row>
    <row r="168" spans="1:16">
      <c r="A168" t="s">
        <v>222</v>
      </c>
      <c r="B168" s="8">
        <v>45857</v>
      </c>
      <c r="C168" t="s">
        <v>61</v>
      </c>
      <c r="D168" t="s">
        <v>28</v>
      </c>
      <c r="E168" t="s">
        <v>42</v>
      </c>
      <c r="F168" t="s">
        <v>30</v>
      </c>
      <c r="G168" t="s">
        <v>57</v>
      </c>
      <c r="H168" t="s">
        <v>45</v>
      </c>
      <c r="I168">
        <v>0</v>
      </c>
      <c r="J168">
        <v>0.73</v>
      </c>
      <c r="K168">
        <v>0.28000000000000003</v>
      </c>
      <c r="L168">
        <v>0.5</v>
      </c>
      <c r="M168">
        <v>163.49</v>
      </c>
      <c r="N168">
        <v>25</v>
      </c>
      <c r="O168">
        <f>SUM($M168:N168)</f>
        <v>188.49</v>
      </c>
      <c r="P168" s="3">
        <f>IFERROR(Table1[[#This Row],[Total_Maintenance_Cost_USD]]/Table1[[#This Row],[Labour_Hours]],0)</f>
        <v>376.98</v>
      </c>
    </row>
    <row r="169" spans="1:16">
      <c r="A169" t="s">
        <v>223</v>
      </c>
      <c r="B169" s="8">
        <v>45860</v>
      </c>
      <c r="C169" t="s">
        <v>61</v>
      </c>
      <c r="D169" t="s">
        <v>44</v>
      </c>
      <c r="E169" t="s">
        <v>86</v>
      </c>
      <c r="F169" t="s">
        <v>30</v>
      </c>
      <c r="G169" t="s">
        <v>20</v>
      </c>
      <c r="H169" t="s">
        <v>69</v>
      </c>
      <c r="I169">
        <v>1</v>
      </c>
      <c r="J169">
        <v>4.6399999999999997</v>
      </c>
      <c r="K169">
        <v>3.53</v>
      </c>
      <c r="L169">
        <v>4.75</v>
      </c>
      <c r="M169">
        <v>491.59</v>
      </c>
      <c r="N169">
        <v>166.25</v>
      </c>
      <c r="O169">
        <f>SUM($M169:N169)</f>
        <v>657.83999999999992</v>
      </c>
      <c r="P169" s="3">
        <f>IFERROR(Table1[[#This Row],[Total_Maintenance_Cost_USD]]/Table1[[#This Row],[Labour_Hours]],0)</f>
        <v>138.49263157894734</v>
      </c>
    </row>
    <row r="170" spans="1:16">
      <c r="A170" t="s">
        <v>224</v>
      </c>
      <c r="B170" s="8">
        <v>45860</v>
      </c>
      <c r="C170" t="s">
        <v>16</v>
      </c>
      <c r="D170" t="s">
        <v>17</v>
      </c>
      <c r="E170" t="s">
        <v>51</v>
      </c>
      <c r="F170" t="s">
        <v>62</v>
      </c>
      <c r="G170" t="s">
        <v>20</v>
      </c>
      <c r="H170" t="s">
        <v>58</v>
      </c>
      <c r="I170">
        <v>1</v>
      </c>
      <c r="J170">
        <v>5.73</v>
      </c>
      <c r="K170">
        <v>17.73</v>
      </c>
      <c r="L170">
        <v>22.69</v>
      </c>
      <c r="M170">
        <v>1810.83</v>
      </c>
      <c r="N170">
        <v>907.6</v>
      </c>
      <c r="O170">
        <f>SUM($M170:N170)</f>
        <v>2718.43</v>
      </c>
      <c r="P170" s="3">
        <f>IFERROR(Table1[[#This Row],[Total_Maintenance_Cost_USD]]/Table1[[#This Row],[Labour_Hours]],0)</f>
        <v>119.80740414279417</v>
      </c>
    </row>
    <row r="171" spans="1:16">
      <c r="A171" t="s">
        <v>225</v>
      </c>
      <c r="B171" s="8">
        <v>45860</v>
      </c>
      <c r="C171" t="s">
        <v>41</v>
      </c>
      <c r="D171" t="s">
        <v>28</v>
      </c>
      <c r="E171" t="s">
        <v>42</v>
      </c>
      <c r="F171" t="s">
        <v>38</v>
      </c>
      <c r="G171" t="s">
        <v>20</v>
      </c>
      <c r="H171" t="s">
        <v>39</v>
      </c>
      <c r="I171">
        <v>0</v>
      </c>
      <c r="J171">
        <v>1.21</v>
      </c>
      <c r="K171">
        <v>1.46</v>
      </c>
      <c r="L171">
        <v>1.2</v>
      </c>
      <c r="M171">
        <v>116.36</v>
      </c>
      <c r="N171">
        <v>48</v>
      </c>
      <c r="O171">
        <f>SUM($M171:N171)</f>
        <v>164.36</v>
      </c>
      <c r="P171" s="3">
        <f>IFERROR(Table1[[#This Row],[Total_Maintenance_Cost_USD]]/Table1[[#This Row],[Labour_Hours]],0)</f>
        <v>136.9666666666667</v>
      </c>
    </row>
    <row r="172" spans="1:16">
      <c r="A172" t="s">
        <v>226</v>
      </c>
      <c r="B172" s="8">
        <v>45861</v>
      </c>
      <c r="C172" t="s">
        <v>53</v>
      </c>
      <c r="D172" t="s">
        <v>28</v>
      </c>
      <c r="E172" t="s">
        <v>42</v>
      </c>
      <c r="F172" t="s">
        <v>38</v>
      </c>
      <c r="G172" t="s">
        <v>20</v>
      </c>
      <c r="H172" t="s">
        <v>39</v>
      </c>
      <c r="I172">
        <v>0</v>
      </c>
      <c r="J172">
        <v>0.55000000000000004</v>
      </c>
      <c r="K172">
        <v>1.07</v>
      </c>
      <c r="L172">
        <v>0.97</v>
      </c>
      <c r="M172">
        <v>81.52</v>
      </c>
      <c r="N172">
        <v>43.65</v>
      </c>
      <c r="O172">
        <f>SUM($M172:N172)</f>
        <v>125.16999999999999</v>
      </c>
      <c r="P172" s="3">
        <f>IFERROR(Table1[[#This Row],[Total_Maintenance_Cost_USD]]/Table1[[#This Row],[Labour_Hours]],0)</f>
        <v>129.04123711340205</v>
      </c>
    </row>
    <row r="173" spans="1:16">
      <c r="A173" t="s">
        <v>227</v>
      </c>
      <c r="B173" s="8">
        <v>45862</v>
      </c>
      <c r="C173" t="s">
        <v>16</v>
      </c>
      <c r="D173" t="s">
        <v>28</v>
      </c>
      <c r="E173" t="s">
        <v>29</v>
      </c>
      <c r="F173" t="s">
        <v>38</v>
      </c>
      <c r="G173" t="s">
        <v>20</v>
      </c>
      <c r="H173" t="s">
        <v>69</v>
      </c>
      <c r="I173">
        <v>0</v>
      </c>
      <c r="J173">
        <v>0.33</v>
      </c>
      <c r="K173">
        <v>1.82</v>
      </c>
      <c r="L173">
        <v>1.65</v>
      </c>
      <c r="M173">
        <v>214.85</v>
      </c>
      <c r="N173">
        <v>57.75</v>
      </c>
      <c r="O173">
        <f>SUM($M173:N173)</f>
        <v>272.60000000000002</v>
      </c>
      <c r="P173" s="3">
        <f>IFERROR(Table1[[#This Row],[Total_Maintenance_Cost_USD]]/Table1[[#This Row],[Labour_Hours]],0)</f>
        <v>165.21212121212125</v>
      </c>
    </row>
    <row r="174" spans="1:16">
      <c r="A174" t="s">
        <v>228</v>
      </c>
      <c r="B174" s="8">
        <v>45864</v>
      </c>
      <c r="C174" t="s">
        <v>53</v>
      </c>
      <c r="D174" t="s">
        <v>44</v>
      </c>
      <c r="E174" t="s">
        <v>47</v>
      </c>
      <c r="F174" t="s">
        <v>30</v>
      </c>
      <c r="G174" t="s">
        <v>20</v>
      </c>
      <c r="H174" t="s">
        <v>21</v>
      </c>
      <c r="I174">
        <v>1</v>
      </c>
      <c r="J174">
        <v>3.87</v>
      </c>
      <c r="K174">
        <v>2.7</v>
      </c>
      <c r="L174">
        <v>3.24</v>
      </c>
      <c r="M174">
        <v>834.86</v>
      </c>
      <c r="N174">
        <v>145.80000000000001</v>
      </c>
      <c r="O174">
        <f>SUM($M174:N174)</f>
        <v>980.66000000000008</v>
      </c>
      <c r="P174" s="3">
        <f>IFERROR(Table1[[#This Row],[Total_Maintenance_Cost_USD]]/Table1[[#This Row],[Labour_Hours]],0)</f>
        <v>302.67283950617286</v>
      </c>
    </row>
    <row r="175" spans="1:16">
      <c r="A175" t="s">
        <v>229</v>
      </c>
      <c r="B175" s="8">
        <v>45864</v>
      </c>
      <c r="C175" t="s">
        <v>41</v>
      </c>
      <c r="D175" t="s">
        <v>44</v>
      </c>
      <c r="E175" t="s">
        <v>24</v>
      </c>
      <c r="F175" t="s">
        <v>30</v>
      </c>
      <c r="G175" t="s">
        <v>20</v>
      </c>
      <c r="H175" t="s">
        <v>21</v>
      </c>
      <c r="I175">
        <v>1</v>
      </c>
      <c r="J175">
        <v>6.46</v>
      </c>
      <c r="K175">
        <v>4.2300000000000004</v>
      </c>
      <c r="L175">
        <v>3.55</v>
      </c>
      <c r="M175">
        <v>852.49</v>
      </c>
      <c r="N175">
        <v>142</v>
      </c>
      <c r="O175">
        <f>SUM($M175:N175)</f>
        <v>994.49</v>
      </c>
      <c r="P175" s="3">
        <f>IFERROR(Table1[[#This Row],[Total_Maintenance_Cost_USD]]/Table1[[#This Row],[Labour_Hours]],0)</f>
        <v>280.13802816901409</v>
      </c>
    </row>
    <row r="176" spans="1:16">
      <c r="A176" t="s">
        <v>230</v>
      </c>
      <c r="B176" s="8">
        <v>45864</v>
      </c>
      <c r="C176" t="s">
        <v>32</v>
      </c>
      <c r="D176" t="s">
        <v>28</v>
      </c>
      <c r="E176" t="s">
        <v>29</v>
      </c>
      <c r="F176" t="s">
        <v>30</v>
      </c>
      <c r="G176" t="s">
        <v>20</v>
      </c>
      <c r="H176" t="s">
        <v>55</v>
      </c>
      <c r="I176">
        <v>0</v>
      </c>
      <c r="J176">
        <v>0.17</v>
      </c>
      <c r="K176">
        <v>2.35</v>
      </c>
      <c r="L176">
        <v>2.65</v>
      </c>
      <c r="M176">
        <v>83.46</v>
      </c>
      <c r="N176">
        <v>132.5</v>
      </c>
      <c r="O176">
        <f>SUM($M176:N176)</f>
        <v>215.95999999999998</v>
      </c>
      <c r="P176" s="3">
        <f>IFERROR(Table1[[#This Row],[Total_Maintenance_Cost_USD]]/Table1[[#This Row],[Labour_Hours]],0)</f>
        <v>81.494339622641505</v>
      </c>
    </row>
    <row r="177" spans="1:16">
      <c r="A177" t="s">
        <v>231</v>
      </c>
      <c r="B177" s="8">
        <v>45865</v>
      </c>
      <c r="C177" t="s">
        <v>61</v>
      </c>
      <c r="D177" t="s">
        <v>44</v>
      </c>
      <c r="E177" t="s">
        <v>51</v>
      </c>
      <c r="F177" t="s">
        <v>30</v>
      </c>
      <c r="G177" t="s">
        <v>63</v>
      </c>
      <c r="H177" t="s">
        <v>58</v>
      </c>
      <c r="I177">
        <v>1</v>
      </c>
      <c r="J177">
        <v>3.48</v>
      </c>
      <c r="K177">
        <v>4.09</v>
      </c>
      <c r="L177">
        <v>4.83</v>
      </c>
      <c r="M177">
        <v>636.14</v>
      </c>
      <c r="N177">
        <v>193.2</v>
      </c>
      <c r="O177">
        <f>SUM($M177:N177)</f>
        <v>829.33999999999992</v>
      </c>
      <c r="P177" s="3">
        <f>IFERROR(Table1[[#This Row],[Total_Maintenance_Cost_USD]]/Table1[[#This Row],[Labour_Hours]],0)</f>
        <v>171.70600414078672</v>
      </c>
    </row>
    <row r="178" spans="1:16">
      <c r="A178" t="s">
        <v>232</v>
      </c>
      <c r="B178" s="8">
        <v>45866</v>
      </c>
      <c r="C178" t="s">
        <v>79</v>
      </c>
      <c r="D178" t="s">
        <v>28</v>
      </c>
      <c r="E178" t="s">
        <v>33</v>
      </c>
      <c r="F178" t="s">
        <v>38</v>
      </c>
      <c r="G178" t="s">
        <v>20</v>
      </c>
      <c r="H178" t="s">
        <v>34</v>
      </c>
      <c r="I178">
        <v>0</v>
      </c>
      <c r="J178">
        <v>0.46</v>
      </c>
      <c r="K178">
        <v>1.39</v>
      </c>
      <c r="L178">
        <v>1.49</v>
      </c>
      <c r="M178">
        <v>167.62</v>
      </c>
      <c r="N178">
        <v>59.6</v>
      </c>
      <c r="O178">
        <f>SUM($M178:N178)</f>
        <v>227.22</v>
      </c>
      <c r="P178" s="3">
        <f>IFERROR(Table1[[#This Row],[Total_Maintenance_Cost_USD]]/Table1[[#This Row],[Labour_Hours]],0)</f>
        <v>152.49664429530202</v>
      </c>
    </row>
    <row r="179" spans="1:16">
      <c r="A179" t="s">
        <v>233</v>
      </c>
      <c r="B179" s="8">
        <v>45867</v>
      </c>
      <c r="C179" t="s">
        <v>65</v>
      </c>
      <c r="D179" t="s">
        <v>17</v>
      </c>
      <c r="E179" t="s">
        <v>18</v>
      </c>
      <c r="F179" t="s">
        <v>62</v>
      </c>
      <c r="G179" t="s">
        <v>20</v>
      </c>
      <c r="H179" t="s">
        <v>55</v>
      </c>
      <c r="I179">
        <v>1</v>
      </c>
      <c r="J179">
        <v>6.55</v>
      </c>
      <c r="K179">
        <v>6.64</v>
      </c>
      <c r="L179">
        <v>6.62</v>
      </c>
      <c r="M179">
        <v>2554.04</v>
      </c>
      <c r="N179">
        <v>331</v>
      </c>
      <c r="O179">
        <f>SUM($M179:N179)</f>
        <v>2885.04</v>
      </c>
      <c r="P179" s="3">
        <f>IFERROR(Table1[[#This Row],[Total_Maintenance_Cost_USD]]/Table1[[#This Row],[Labour_Hours]],0)</f>
        <v>435.80664652567975</v>
      </c>
    </row>
    <row r="180" spans="1:16">
      <c r="A180" t="s">
        <v>234</v>
      </c>
      <c r="B180" s="8">
        <v>45869</v>
      </c>
      <c r="C180" t="s">
        <v>49</v>
      </c>
      <c r="D180" t="s">
        <v>28</v>
      </c>
      <c r="E180" t="s">
        <v>37</v>
      </c>
      <c r="F180" t="s">
        <v>30</v>
      </c>
      <c r="G180" t="s">
        <v>63</v>
      </c>
      <c r="H180" t="s">
        <v>25</v>
      </c>
      <c r="I180">
        <v>0</v>
      </c>
      <c r="J180">
        <v>0.53</v>
      </c>
      <c r="K180">
        <v>1.21</v>
      </c>
      <c r="L180">
        <v>1.24</v>
      </c>
      <c r="M180">
        <v>156.75</v>
      </c>
      <c r="N180">
        <v>43.4</v>
      </c>
      <c r="O180">
        <f>SUM($M180:N180)</f>
        <v>200.15</v>
      </c>
      <c r="P180" s="3">
        <f>IFERROR(Table1[[#This Row],[Total_Maintenance_Cost_USD]]/Table1[[#This Row],[Labour_Hours]],0)</f>
        <v>161.41129032258064</v>
      </c>
    </row>
    <row r="181" spans="1:16">
      <c r="A181" t="s">
        <v>235</v>
      </c>
      <c r="B181" s="8">
        <v>45870</v>
      </c>
      <c r="C181" t="s">
        <v>16</v>
      </c>
      <c r="D181" t="s">
        <v>28</v>
      </c>
      <c r="E181" t="s">
        <v>33</v>
      </c>
      <c r="F181" t="s">
        <v>38</v>
      </c>
      <c r="G181" t="s">
        <v>63</v>
      </c>
      <c r="H181" t="s">
        <v>58</v>
      </c>
      <c r="I181">
        <v>0</v>
      </c>
      <c r="J181">
        <v>0</v>
      </c>
      <c r="K181">
        <v>0.96</v>
      </c>
      <c r="L181">
        <v>1.1000000000000001</v>
      </c>
      <c r="M181">
        <v>153.86000000000001</v>
      </c>
      <c r="N181">
        <v>49.5</v>
      </c>
      <c r="O181">
        <f>SUM($M181:N181)</f>
        <v>203.36</v>
      </c>
      <c r="P181" s="3">
        <f>IFERROR(Table1[[#This Row],[Total_Maintenance_Cost_USD]]/Table1[[#This Row],[Labour_Hours]],0)</f>
        <v>184.87272727272727</v>
      </c>
    </row>
    <row r="182" spans="1:16">
      <c r="A182" t="s">
        <v>236</v>
      </c>
      <c r="B182" s="8">
        <v>45871</v>
      </c>
      <c r="C182" t="s">
        <v>61</v>
      </c>
      <c r="D182" t="s">
        <v>17</v>
      </c>
      <c r="E182" t="s">
        <v>51</v>
      </c>
      <c r="F182" t="s">
        <v>62</v>
      </c>
      <c r="G182" t="s">
        <v>20</v>
      </c>
      <c r="H182" t="s">
        <v>45</v>
      </c>
      <c r="I182">
        <v>1</v>
      </c>
      <c r="J182">
        <v>8.6</v>
      </c>
      <c r="K182">
        <v>4.79</v>
      </c>
      <c r="L182">
        <v>3.97</v>
      </c>
      <c r="M182">
        <v>1830.53</v>
      </c>
      <c r="N182">
        <v>158.80000000000001</v>
      </c>
      <c r="O182">
        <f>SUM($M182:N182)</f>
        <v>1989.33</v>
      </c>
      <c r="P182" s="3">
        <f>IFERROR(Table1[[#This Row],[Total_Maintenance_Cost_USD]]/Table1[[#This Row],[Labour_Hours]],0)</f>
        <v>501.09068010075561</v>
      </c>
    </row>
    <row r="183" spans="1:16">
      <c r="A183" t="s">
        <v>237</v>
      </c>
      <c r="B183" s="8">
        <v>45872</v>
      </c>
      <c r="C183" t="s">
        <v>36</v>
      </c>
      <c r="D183" t="s">
        <v>28</v>
      </c>
      <c r="E183" t="s">
        <v>42</v>
      </c>
      <c r="F183" t="s">
        <v>38</v>
      </c>
      <c r="G183" t="s">
        <v>20</v>
      </c>
      <c r="H183" t="s">
        <v>69</v>
      </c>
      <c r="I183">
        <v>0</v>
      </c>
      <c r="J183">
        <v>0.12</v>
      </c>
      <c r="K183">
        <v>1.05</v>
      </c>
      <c r="L183">
        <v>1.2</v>
      </c>
      <c r="M183">
        <v>94.84</v>
      </c>
      <c r="N183">
        <v>60</v>
      </c>
      <c r="O183">
        <f>SUM($M183:N183)</f>
        <v>154.84</v>
      </c>
      <c r="P183" s="3">
        <f>IFERROR(Table1[[#This Row],[Total_Maintenance_Cost_USD]]/Table1[[#This Row],[Labour_Hours]],0)</f>
        <v>129.03333333333333</v>
      </c>
    </row>
    <row r="184" spans="1:16">
      <c r="A184" t="s">
        <v>238</v>
      </c>
      <c r="B184" s="8">
        <v>45873</v>
      </c>
      <c r="C184" t="s">
        <v>65</v>
      </c>
      <c r="D184" t="s">
        <v>17</v>
      </c>
      <c r="E184" t="s">
        <v>47</v>
      </c>
      <c r="F184" t="s">
        <v>62</v>
      </c>
      <c r="G184" t="s">
        <v>20</v>
      </c>
      <c r="H184" t="s">
        <v>69</v>
      </c>
      <c r="I184">
        <v>1</v>
      </c>
      <c r="J184">
        <v>4.68</v>
      </c>
      <c r="K184">
        <v>4.7699999999999996</v>
      </c>
      <c r="L184">
        <v>3.86</v>
      </c>
      <c r="M184">
        <v>948.69</v>
      </c>
      <c r="N184">
        <v>173.7</v>
      </c>
      <c r="O184">
        <f>SUM($M184:N184)</f>
        <v>1122.3900000000001</v>
      </c>
      <c r="P184" s="3">
        <f>IFERROR(Table1[[#This Row],[Total_Maintenance_Cost_USD]]/Table1[[#This Row],[Labour_Hours]],0)</f>
        <v>290.77461139896377</v>
      </c>
    </row>
    <row r="185" spans="1:16">
      <c r="A185" t="s">
        <v>239</v>
      </c>
      <c r="B185" s="8">
        <v>45878</v>
      </c>
      <c r="C185" t="s">
        <v>32</v>
      </c>
      <c r="D185" t="s">
        <v>28</v>
      </c>
      <c r="E185" t="s">
        <v>29</v>
      </c>
      <c r="F185" t="s">
        <v>30</v>
      </c>
      <c r="G185" t="s">
        <v>20</v>
      </c>
      <c r="H185" t="s">
        <v>45</v>
      </c>
      <c r="I185">
        <v>0</v>
      </c>
      <c r="J185">
        <v>0.63</v>
      </c>
      <c r="K185">
        <v>0.9</v>
      </c>
      <c r="L185">
        <v>1.02</v>
      </c>
      <c r="M185">
        <v>233.68</v>
      </c>
      <c r="N185">
        <v>45.9</v>
      </c>
      <c r="O185">
        <f>SUM($M185:N185)</f>
        <v>279.58</v>
      </c>
      <c r="P185" s="3">
        <f>IFERROR(Table1[[#This Row],[Total_Maintenance_Cost_USD]]/Table1[[#This Row],[Labour_Hours]],0)</f>
        <v>274.09803921568624</v>
      </c>
    </row>
    <row r="186" spans="1:16">
      <c r="A186" t="s">
        <v>240</v>
      </c>
      <c r="B186" s="8">
        <v>45879</v>
      </c>
      <c r="C186" t="s">
        <v>72</v>
      </c>
      <c r="D186" t="s">
        <v>28</v>
      </c>
      <c r="E186" t="s">
        <v>33</v>
      </c>
      <c r="F186" t="s">
        <v>38</v>
      </c>
      <c r="G186" t="s">
        <v>20</v>
      </c>
      <c r="H186" t="s">
        <v>34</v>
      </c>
      <c r="I186">
        <v>0</v>
      </c>
      <c r="J186">
        <v>0.11</v>
      </c>
      <c r="K186">
        <v>0.92</v>
      </c>
      <c r="L186">
        <v>1.04</v>
      </c>
      <c r="M186">
        <v>278.06</v>
      </c>
      <c r="N186">
        <v>52</v>
      </c>
      <c r="O186">
        <f>SUM($M186:N186)</f>
        <v>330.06</v>
      </c>
      <c r="P186" s="3">
        <f>IFERROR(Table1[[#This Row],[Total_Maintenance_Cost_USD]]/Table1[[#This Row],[Labour_Hours]],0)</f>
        <v>317.36538461538458</v>
      </c>
    </row>
    <row r="187" spans="1:16">
      <c r="A187" t="s">
        <v>241</v>
      </c>
      <c r="B187" s="8">
        <v>45881</v>
      </c>
      <c r="C187" t="s">
        <v>16</v>
      </c>
      <c r="D187" t="s">
        <v>44</v>
      </c>
      <c r="E187" t="s">
        <v>68</v>
      </c>
      <c r="F187" t="s">
        <v>62</v>
      </c>
      <c r="G187" t="s">
        <v>20</v>
      </c>
      <c r="H187" t="s">
        <v>58</v>
      </c>
      <c r="I187">
        <v>1</v>
      </c>
      <c r="J187">
        <v>0.27</v>
      </c>
      <c r="K187">
        <v>4.1100000000000003</v>
      </c>
      <c r="L187">
        <v>4.8499999999999996</v>
      </c>
      <c r="M187">
        <v>248.5</v>
      </c>
      <c r="N187">
        <v>194</v>
      </c>
      <c r="O187">
        <f>SUM($M187:N187)</f>
        <v>442.5</v>
      </c>
      <c r="P187" s="3">
        <f>IFERROR(Table1[[#This Row],[Total_Maintenance_Cost_USD]]/Table1[[#This Row],[Labour_Hours]],0)</f>
        <v>91.237113402061865</v>
      </c>
    </row>
    <row r="188" spans="1:16">
      <c r="A188" t="s">
        <v>242</v>
      </c>
      <c r="B188" s="8">
        <v>45886</v>
      </c>
      <c r="C188" t="s">
        <v>72</v>
      </c>
      <c r="D188" t="s">
        <v>44</v>
      </c>
      <c r="E188" t="s">
        <v>24</v>
      </c>
      <c r="F188" t="s">
        <v>30</v>
      </c>
      <c r="G188" t="s">
        <v>20</v>
      </c>
      <c r="H188" t="s">
        <v>34</v>
      </c>
      <c r="I188">
        <v>1</v>
      </c>
      <c r="J188">
        <v>3.29</v>
      </c>
      <c r="K188">
        <v>2.13</v>
      </c>
      <c r="L188">
        <v>2.68</v>
      </c>
      <c r="M188">
        <v>468.84</v>
      </c>
      <c r="N188">
        <v>120.6</v>
      </c>
      <c r="O188">
        <f>SUM($M188:N188)</f>
        <v>589.43999999999994</v>
      </c>
      <c r="P188" s="3">
        <f>IFERROR(Table1[[#This Row],[Total_Maintenance_Cost_USD]]/Table1[[#This Row],[Labour_Hours]],0)</f>
        <v>219.94029850746264</v>
      </c>
    </row>
    <row r="189" spans="1:16">
      <c r="A189" t="s">
        <v>243</v>
      </c>
      <c r="B189" s="8">
        <v>45887</v>
      </c>
      <c r="C189" t="s">
        <v>65</v>
      </c>
      <c r="D189" t="s">
        <v>28</v>
      </c>
      <c r="E189" t="s">
        <v>42</v>
      </c>
      <c r="F189" t="s">
        <v>38</v>
      </c>
      <c r="G189" t="s">
        <v>63</v>
      </c>
      <c r="H189" t="s">
        <v>34</v>
      </c>
      <c r="I189">
        <v>0</v>
      </c>
      <c r="J189">
        <v>0.59</v>
      </c>
      <c r="K189">
        <v>1.28</v>
      </c>
      <c r="L189">
        <v>1.0900000000000001</v>
      </c>
      <c r="M189">
        <v>142.84</v>
      </c>
      <c r="N189">
        <v>49.05</v>
      </c>
      <c r="O189">
        <f>SUM($M189:N189)</f>
        <v>191.89</v>
      </c>
      <c r="P189" s="3">
        <f>IFERROR(Table1[[#This Row],[Total_Maintenance_Cost_USD]]/Table1[[#This Row],[Labour_Hours]],0)</f>
        <v>176.04587155963301</v>
      </c>
    </row>
    <row r="190" spans="1:16">
      <c r="A190" t="s">
        <v>244</v>
      </c>
      <c r="B190" s="8">
        <v>45887</v>
      </c>
      <c r="C190" t="s">
        <v>32</v>
      </c>
      <c r="D190" t="s">
        <v>17</v>
      </c>
      <c r="E190" t="s">
        <v>47</v>
      </c>
      <c r="F190" t="s">
        <v>19</v>
      </c>
      <c r="G190" t="s">
        <v>20</v>
      </c>
      <c r="H190" t="s">
        <v>34</v>
      </c>
      <c r="I190">
        <v>1</v>
      </c>
      <c r="J190">
        <v>16.79</v>
      </c>
      <c r="K190">
        <v>2.08</v>
      </c>
      <c r="L190">
        <v>2.27</v>
      </c>
      <c r="M190">
        <v>1872.62</v>
      </c>
      <c r="N190">
        <v>79.45</v>
      </c>
      <c r="O190">
        <f>SUM($M190:N190)</f>
        <v>1952.07</v>
      </c>
      <c r="P190" s="3">
        <f>IFERROR(Table1[[#This Row],[Total_Maintenance_Cost_USD]]/Table1[[#This Row],[Labour_Hours]],0)</f>
        <v>859.94273127753297</v>
      </c>
    </row>
    <row r="191" spans="1:16">
      <c r="A191" t="s">
        <v>245</v>
      </c>
      <c r="B191" s="8">
        <v>45888</v>
      </c>
      <c r="C191" t="s">
        <v>36</v>
      </c>
      <c r="D191" t="s">
        <v>44</v>
      </c>
      <c r="E191" t="s">
        <v>24</v>
      </c>
      <c r="F191" t="s">
        <v>30</v>
      </c>
      <c r="G191" t="s">
        <v>20</v>
      </c>
      <c r="H191" t="s">
        <v>34</v>
      </c>
      <c r="I191">
        <v>1</v>
      </c>
      <c r="J191">
        <v>3.05</v>
      </c>
      <c r="K191">
        <v>3.32</v>
      </c>
      <c r="L191">
        <v>3.64</v>
      </c>
      <c r="M191">
        <v>626.62</v>
      </c>
      <c r="N191">
        <v>163.80000000000001</v>
      </c>
      <c r="O191">
        <f>SUM($M191:N191)</f>
        <v>790.42000000000007</v>
      </c>
      <c r="P191" s="3">
        <f>IFERROR(Table1[[#This Row],[Total_Maintenance_Cost_USD]]/Table1[[#This Row],[Labour_Hours]],0)</f>
        <v>217.14835164835165</v>
      </c>
    </row>
    <row r="192" spans="1:16">
      <c r="A192" t="s">
        <v>246</v>
      </c>
      <c r="B192" s="8">
        <v>45888</v>
      </c>
      <c r="C192" t="s">
        <v>16</v>
      </c>
      <c r="D192" t="s">
        <v>44</v>
      </c>
      <c r="E192" t="s">
        <v>47</v>
      </c>
      <c r="F192" t="s">
        <v>30</v>
      </c>
      <c r="G192" t="s">
        <v>57</v>
      </c>
      <c r="H192" t="s">
        <v>45</v>
      </c>
      <c r="I192">
        <v>1</v>
      </c>
      <c r="J192">
        <v>0.27</v>
      </c>
      <c r="K192">
        <v>0.68</v>
      </c>
      <c r="L192">
        <v>0.73</v>
      </c>
      <c r="M192">
        <v>586.89</v>
      </c>
      <c r="N192">
        <v>32.85</v>
      </c>
      <c r="O192">
        <f>SUM($M192:N192)</f>
        <v>619.74</v>
      </c>
      <c r="P192" s="3">
        <f>IFERROR(Table1[[#This Row],[Total_Maintenance_Cost_USD]]/Table1[[#This Row],[Labour_Hours]],0)</f>
        <v>848.95890410958907</v>
      </c>
    </row>
    <row r="193" spans="1:16">
      <c r="A193" t="s">
        <v>247</v>
      </c>
      <c r="B193" s="8">
        <v>45889</v>
      </c>
      <c r="C193" t="s">
        <v>72</v>
      </c>
      <c r="D193" t="s">
        <v>28</v>
      </c>
      <c r="E193" t="s">
        <v>29</v>
      </c>
      <c r="F193" t="s">
        <v>38</v>
      </c>
      <c r="G193" t="s">
        <v>20</v>
      </c>
      <c r="H193" t="s">
        <v>21</v>
      </c>
      <c r="I193">
        <v>0</v>
      </c>
      <c r="J193">
        <v>0.77</v>
      </c>
      <c r="K193">
        <v>1.36</v>
      </c>
      <c r="L193">
        <v>1.1000000000000001</v>
      </c>
      <c r="M193">
        <v>126.56</v>
      </c>
      <c r="N193">
        <v>55</v>
      </c>
      <c r="O193">
        <f>SUM($M193:N193)</f>
        <v>181.56</v>
      </c>
      <c r="P193" s="3">
        <f>IFERROR(Table1[[#This Row],[Total_Maintenance_Cost_USD]]/Table1[[#This Row],[Labour_Hours]],0)</f>
        <v>165.05454545454543</v>
      </c>
    </row>
    <row r="194" spans="1:16">
      <c r="A194" t="s">
        <v>248</v>
      </c>
      <c r="B194" s="8">
        <v>45890</v>
      </c>
      <c r="C194" t="s">
        <v>41</v>
      </c>
      <c r="D194" t="s">
        <v>44</v>
      </c>
      <c r="E194" t="s">
        <v>18</v>
      </c>
      <c r="F194" t="s">
        <v>30</v>
      </c>
      <c r="G194" t="s">
        <v>20</v>
      </c>
      <c r="H194" t="s">
        <v>39</v>
      </c>
      <c r="I194">
        <v>1</v>
      </c>
      <c r="J194">
        <v>3.08</v>
      </c>
      <c r="K194">
        <v>4.53</v>
      </c>
      <c r="L194">
        <v>4.8099999999999996</v>
      </c>
      <c r="M194">
        <v>954.46</v>
      </c>
      <c r="N194">
        <v>192.4</v>
      </c>
      <c r="O194">
        <f>SUM($M194:N194)</f>
        <v>1146.8600000000001</v>
      </c>
      <c r="P194" s="3">
        <f>IFERROR(Table1[[#This Row],[Total_Maintenance_Cost_USD]]/Table1[[#This Row],[Labour_Hours]],0)</f>
        <v>238.43243243243248</v>
      </c>
    </row>
    <row r="195" spans="1:16">
      <c r="A195" t="s">
        <v>249</v>
      </c>
      <c r="B195" s="8">
        <v>45893</v>
      </c>
      <c r="C195" t="s">
        <v>32</v>
      </c>
      <c r="D195" t="s">
        <v>28</v>
      </c>
      <c r="E195" t="s">
        <v>33</v>
      </c>
      <c r="F195" t="s">
        <v>38</v>
      </c>
      <c r="G195" t="s">
        <v>20</v>
      </c>
      <c r="H195" t="s">
        <v>58</v>
      </c>
      <c r="I195">
        <v>0</v>
      </c>
      <c r="J195">
        <v>1.43</v>
      </c>
      <c r="K195">
        <v>0.71</v>
      </c>
      <c r="L195">
        <v>0.68</v>
      </c>
      <c r="M195">
        <v>123.89</v>
      </c>
      <c r="N195">
        <v>27.2</v>
      </c>
      <c r="O195">
        <f>SUM($M195:N195)</f>
        <v>151.09</v>
      </c>
      <c r="P195" s="3">
        <f>IFERROR(Table1[[#This Row],[Total_Maintenance_Cost_USD]]/Table1[[#This Row],[Labour_Hours]],0)</f>
        <v>222.19117647058823</v>
      </c>
    </row>
    <row r="196" spans="1:16">
      <c r="A196" t="s">
        <v>250</v>
      </c>
      <c r="B196" s="8">
        <v>45895</v>
      </c>
      <c r="C196" t="s">
        <v>53</v>
      </c>
      <c r="D196" t="s">
        <v>28</v>
      </c>
      <c r="E196" t="s">
        <v>33</v>
      </c>
      <c r="F196" t="s">
        <v>30</v>
      </c>
      <c r="G196" t="s">
        <v>20</v>
      </c>
      <c r="H196" t="s">
        <v>21</v>
      </c>
      <c r="I196">
        <v>0</v>
      </c>
      <c r="J196">
        <v>0.36</v>
      </c>
      <c r="K196">
        <v>0.57999999999999996</v>
      </c>
      <c r="L196">
        <v>0.76</v>
      </c>
      <c r="M196">
        <v>123.34</v>
      </c>
      <c r="N196">
        <v>34.200000000000003</v>
      </c>
      <c r="O196">
        <f>SUM($M196:N196)</f>
        <v>157.54000000000002</v>
      </c>
      <c r="P196" s="3">
        <f>IFERROR(Table1[[#This Row],[Total_Maintenance_Cost_USD]]/Table1[[#This Row],[Labour_Hours]],0)</f>
        <v>207.28947368421055</v>
      </c>
    </row>
    <row r="197" spans="1:16">
      <c r="A197" t="s">
        <v>251</v>
      </c>
      <c r="B197" s="8">
        <v>45896</v>
      </c>
      <c r="C197" t="s">
        <v>32</v>
      </c>
      <c r="D197" t="s">
        <v>28</v>
      </c>
      <c r="E197" t="s">
        <v>37</v>
      </c>
      <c r="F197" t="s">
        <v>38</v>
      </c>
      <c r="G197" t="s">
        <v>20</v>
      </c>
      <c r="H197" t="s">
        <v>58</v>
      </c>
      <c r="I197">
        <v>0</v>
      </c>
      <c r="J197">
        <v>0.23</v>
      </c>
      <c r="K197">
        <v>2.69</v>
      </c>
      <c r="L197">
        <v>3.61</v>
      </c>
      <c r="M197">
        <v>147.62</v>
      </c>
      <c r="N197">
        <v>144.4</v>
      </c>
      <c r="O197">
        <f>SUM($M197:N197)</f>
        <v>292.02</v>
      </c>
      <c r="P197" s="3">
        <f>IFERROR(Table1[[#This Row],[Total_Maintenance_Cost_USD]]/Table1[[#This Row],[Labour_Hours]],0)</f>
        <v>80.89196675900277</v>
      </c>
    </row>
    <row r="198" spans="1:16">
      <c r="A198" t="s">
        <v>252</v>
      </c>
      <c r="B198" s="8">
        <v>45896</v>
      </c>
      <c r="C198" t="s">
        <v>61</v>
      </c>
      <c r="D198" t="s">
        <v>44</v>
      </c>
      <c r="E198" t="s">
        <v>47</v>
      </c>
      <c r="F198" t="s">
        <v>30</v>
      </c>
      <c r="G198" t="s">
        <v>20</v>
      </c>
      <c r="H198" t="s">
        <v>34</v>
      </c>
      <c r="I198">
        <v>1</v>
      </c>
      <c r="J198">
        <v>3.62</v>
      </c>
      <c r="K198">
        <v>3.51</v>
      </c>
      <c r="L198">
        <v>4.26</v>
      </c>
      <c r="M198">
        <v>597.51</v>
      </c>
      <c r="N198">
        <v>149.1</v>
      </c>
      <c r="O198">
        <f>SUM($M198:N198)</f>
        <v>746.61</v>
      </c>
      <c r="P198" s="3">
        <f>IFERROR(Table1[[#This Row],[Total_Maintenance_Cost_USD]]/Table1[[#This Row],[Labour_Hours]],0)</f>
        <v>175.2605633802817</v>
      </c>
    </row>
    <row r="199" spans="1:16">
      <c r="A199" t="s">
        <v>253</v>
      </c>
      <c r="B199" s="8">
        <v>45899</v>
      </c>
      <c r="C199" t="s">
        <v>36</v>
      </c>
      <c r="D199" t="s">
        <v>28</v>
      </c>
      <c r="E199" t="s">
        <v>37</v>
      </c>
      <c r="F199" t="s">
        <v>38</v>
      </c>
      <c r="G199" t="s">
        <v>20</v>
      </c>
      <c r="H199" t="s">
        <v>25</v>
      </c>
      <c r="I199">
        <v>0</v>
      </c>
      <c r="J199">
        <v>0.2</v>
      </c>
      <c r="K199">
        <v>1.07</v>
      </c>
      <c r="L199">
        <v>1.18</v>
      </c>
      <c r="M199">
        <v>128.31</v>
      </c>
      <c r="N199">
        <v>47.2</v>
      </c>
      <c r="O199">
        <f>SUM($M199:N199)</f>
        <v>175.51</v>
      </c>
      <c r="P199" s="3">
        <f>IFERROR(Table1[[#This Row],[Total_Maintenance_Cost_USD]]/Table1[[#This Row],[Labour_Hours]],0)</f>
        <v>148.73728813559322</v>
      </c>
    </row>
    <row r="200" spans="1:16">
      <c r="A200" t="s">
        <v>254</v>
      </c>
      <c r="B200" s="8">
        <v>45899</v>
      </c>
      <c r="C200" t="s">
        <v>49</v>
      </c>
      <c r="D200" t="s">
        <v>44</v>
      </c>
      <c r="E200" t="s">
        <v>18</v>
      </c>
      <c r="F200" t="s">
        <v>30</v>
      </c>
      <c r="G200" t="s">
        <v>20</v>
      </c>
      <c r="H200" t="s">
        <v>25</v>
      </c>
      <c r="I200">
        <v>1</v>
      </c>
      <c r="J200">
        <v>1.41</v>
      </c>
      <c r="K200">
        <v>3.89</v>
      </c>
      <c r="L200">
        <v>5.0999999999999996</v>
      </c>
      <c r="M200">
        <v>715.12</v>
      </c>
      <c r="N200">
        <v>229.5</v>
      </c>
      <c r="O200">
        <f>SUM($M200:N200)</f>
        <v>944.62</v>
      </c>
      <c r="P200" s="3">
        <f>IFERROR(Table1[[#This Row],[Total_Maintenance_Cost_USD]]/Table1[[#This Row],[Labour_Hours]],0)</f>
        <v>185.21960784313728</v>
      </c>
    </row>
    <row r="201" spans="1:16">
      <c r="A201" t="s">
        <v>255</v>
      </c>
      <c r="B201" s="8">
        <v>45900</v>
      </c>
      <c r="C201" t="s">
        <v>41</v>
      </c>
      <c r="D201" t="s">
        <v>44</v>
      </c>
      <c r="E201" t="s">
        <v>54</v>
      </c>
      <c r="F201" t="s">
        <v>30</v>
      </c>
      <c r="G201" t="s">
        <v>20</v>
      </c>
      <c r="H201" t="s">
        <v>34</v>
      </c>
      <c r="I201">
        <v>1</v>
      </c>
      <c r="J201">
        <v>4.41</v>
      </c>
      <c r="K201">
        <v>2.02</v>
      </c>
      <c r="L201">
        <v>2.42</v>
      </c>
      <c r="M201">
        <v>409.88</v>
      </c>
      <c r="N201">
        <v>108.9</v>
      </c>
      <c r="O201">
        <f>SUM($M201:N201)</f>
        <v>518.78</v>
      </c>
      <c r="P201" s="3">
        <f>IFERROR(Table1[[#This Row],[Total_Maintenance_Cost_USD]]/Table1[[#This Row],[Labour_Hours]],0)</f>
        <v>214.37190082644628</v>
      </c>
    </row>
    <row r="202" spans="1:16">
      <c r="A202" t="s">
        <v>256</v>
      </c>
      <c r="B202" s="8">
        <v>45900</v>
      </c>
      <c r="C202" t="s">
        <v>27</v>
      </c>
      <c r="D202" t="s">
        <v>28</v>
      </c>
      <c r="E202" t="s">
        <v>42</v>
      </c>
      <c r="F202" t="s">
        <v>30</v>
      </c>
      <c r="G202" t="s">
        <v>63</v>
      </c>
      <c r="H202" t="s">
        <v>34</v>
      </c>
      <c r="I202">
        <v>0</v>
      </c>
      <c r="J202">
        <v>0.27</v>
      </c>
      <c r="K202">
        <v>1.25</v>
      </c>
      <c r="L202">
        <v>1.02</v>
      </c>
      <c r="M202">
        <v>175.55</v>
      </c>
      <c r="N202">
        <v>51</v>
      </c>
      <c r="O202">
        <f>SUM($M202:N202)</f>
        <v>226.55</v>
      </c>
      <c r="P202" s="3">
        <f>IFERROR(Table1[[#This Row],[Total_Maintenance_Cost_USD]]/Table1[[#This Row],[Labour_Hours]],0)</f>
        <v>222.10784313725492</v>
      </c>
    </row>
    <row r="203" spans="1:16">
      <c r="A203" t="s">
        <v>257</v>
      </c>
      <c r="B203" s="8">
        <v>45900</v>
      </c>
      <c r="C203" t="s">
        <v>32</v>
      </c>
      <c r="D203" t="s">
        <v>28</v>
      </c>
      <c r="E203" t="s">
        <v>33</v>
      </c>
      <c r="F203" t="s">
        <v>38</v>
      </c>
      <c r="G203" t="s">
        <v>20</v>
      </c>
      <c r="H203" t="s">
        <v>34</v>
      </c>
      <c r="I203">
        <v>0</v>
      </c>
      <c r="J203">
        <v>0.93</v>
      </c>
      <c r="K203">
        <v>1.1599999999999999</v>
      </c>
      <c r="L203">
        <v>1.1399999999999999</v>
      </c>
      <c r="M203">
        <v>124.7</v>
      </c>
      <c r="N203">
        <v>45.6</v>
      </c>
      <c r="O203">
        <f>SUM($M203:N203)</f>
        <v>170.3</v>
      </c>
      <c r="P203" s="3">
        <f>IFERROR(Table1[[#This Row],[Total_Maintenance_Cost_USD]]/Table1[[#This Row],[Labour_Hours]],0)</f>
        <v>149.38596491228071</v>
      </c>
    </row>
    <row r="204" spans="1:16">
      <c r="A204" t="s">
        <v>258</v>
      </c>
      <c r="B204" s="8">
        <v>45901</v>
      </c>
      <c r="C204" t="s">
        <v>61</v>
      </c>
      <c r="D204" t="s">
        <v>17</v>
      </c>
      <c r="E204" t="s">
        <v>68</v>
      </c>
      <c r="F204" t="s">
        <v>62</v>
      </c>
      <c r="G204" t="s">
        <v>20</v>
      </c>
      <c r="H204" t="s">
        <v>45</v>
      </c>
      <c r="I204">
        <v>1</v>
      </c>
      <c r="J204">
        <v>7.93</v>
      </c>
      <c r="K204">
        <v>5.91</v>
      </c>
      <c r="L204">
        <v>7.21</v>
      </c>
      <c r="M204">
        <v>1905.26</v>
      </c>
      <c r="N204">
        <v>324.45</v>
      </c>
      <c r="O204">
        <f>SUM($M204:N204)</f>
        <v>2229.71</v>
      </c>
      <c r="P204" s="3">
        <f>IFERROR(Table1[[#This Row],[Total_Maintenance_Cost_USD]]/Table1[[#This Row],[Labour_Hours]],0)</f>
        <v>309.252427184466</v>
      </c>
    </row>
    <row r="205" spans="1:16">
      <c r="A205" t="s">
        <v>259</v>
      </c>
      <c r="B205" s="8">
        <v>45902</v>
      </c>
      <c r="C205" t="s">
        <v>53</v>
      </c>
      <c r="D205" t="s">
        <v>28</v>
      </c>
      <c r="E205" t="s">
        <v>37</v>
      </c>
      <c r="F205" t="s">
        <v>38</v>
      </c>
      <c r="G205" t="s">
        <v>20</v>
      </c>
      <c r="H205" t="s">
        <v>55</v>
      </c>
      <c r="I205">
        <v>0</v>
      </c>
      <c r="J205">
        <v>0.43</v>
      </c>
      <c r="K205">
        <v>1.53</v>
      </c>
      <c r="L205">
        <v>2.04</v>
      </c>
      <c r="M205">
        <v>167.38</v>
      </c>
      <c r="N205">
        <v>81.599999999999994</v>
      </c>
      <c r="O205">
        <f>SUM($M205:N205)</f>
        <v>248.98</v>
      </c>
      <c r="P205" s="3">
        <f>IFERROR(Table1[[#This Row],[Total_Maintenance_Cost_USD]]/Table1[[#This Row],[Labour_Hours]],0)</f>
        <v>122.04901960784314</v>
      </c>
    </row>
    <row r="206" spans="1:16">
      <c r="A206" t="s">
        <v>260</v>
      </c>
      <c r="B206" s="8">
        <v>45902</v>
      </c>
      <c r="C206" t="s">
        <v>32</v>
      </c>
      <c r="D206" t="s">
        <v>28</v>
      </c>
      <c r="E206" t="s">
        <v>33</v>
      </c>
      <c r="F206" t="s">
        <v>38</v>
      </c>
      <c r="G206" t="s">
        <v>20</v>
      </c>
      <c r="H206" t="s">
        <v>21</v>
      </c>
      <c r="I206">
        <v>0</v>
      </c>
      <c r="J206">
        <v>0.4</v>
      </c>
      <c r="K206">
        <v>1.84</v>
      </c>
      <c r="L206">
        <v>1.76</v>
      </c>
      <c r="M206">
        <v>247.56</v>
      </c>
      <c r="N206">
        <v>88</v>
      </c>
      <c r="O206">
        <f>SUM($M206:N206)</f>
        <v>335.56</v>
      </c>
      <c r="P206" s="3">
        <f>IFERROR(Table1[[#This Row],[Total_Maintenance_Cost_USD]]/Table1[[#This Row],[Labour_Hours]],0)</f>
        <v>190.65909090909091</v>
      </c>
    </row>
    <row r="207" spans="1:16">
      <c r="A207" t="s">
        <v>261</v>
      </c>
      <c r="B207" s="8">
        <v>45905</v>
      </c>
      <c r="C207" t="s">
        <v>16</v>
      </c>
      <c r="D207" t="s">
        <v>44</v>
      </c>
      <c r="E207" t="s">
        <v>24</v>
      </c>
      <c r="F207" t="s">
        <v>62</v>
      </c>
      <c r="G207" t="s">
        <v>20</v>
      </c>
      <c r="H207" t="s">
        <v>21</v>
      </c>
      <c r="I207">
        <v>1</v>
      </c>
      <c r="J207">
        <v>2.65</v>
      </c>
      <c r="K207">
        <v>5.58</v>
      </c>
      <c r="L207">
        <v>4.96</v>
      </c>
      <c r="M207">
        <v>531.77</v>
      </c>
      <c r="N207">
        <v>198.4</v>
      </c>
      <c r="O207">
        <f>SUM($M207:N207)</f>
        <v>730.17</v>
      </c>
      <c r="P207" s="3">
        <f>IFERROR(Table1[[#This Row],[Total_Maintenance_Cost_USD]]/Table1[[#This Row],[Labour_Hours]],0)</f>
        <v>147.2116935483871</v>
      </c>
    </row>
    <row r="208" spans="1:16">
      <c r="A208" t="s">
        <v>262</v>
      </c>
      <c r="B208" s="8">
        <v>45905</v>
      </c>
      <c r="C208" t="s">
        <v>16</v>
      </c>
      <c r="D208" t="s">
        <v>28</v>
      </c>
      <c r="E208" t="s">
        <v>42</v>
      </c>
      <c r="F208" t="s">
        <v>38</v>
      </c>
      <c r="G208" t="s">
        <v>20</v>
      </c>
      <c r="H208" t="s">
        <v>45</v>
      </c>
      <c r="I208">
        <v>0</v>
      </c>
      <c r="J208">
        <v>0.43</v>
      </c>
      <c r="K208">
        <v>2.29</v>
      </c>
      <c r="L208">
        <v>2.3199999999999998</v>
      </c>
      <c r="M208">
        <v>161.04</v>
      </c>
      <c r="N208">
        <v>92.8</v>
      </c>
      <c r="O208">
        <f>SUM($M208:N208)</f>
        <v>253.83999999999997</v>
      </c>
      <c r="P208" s="3">
        <f>IFERROR(Table1[[#This Row],[Total_Maintenance_Cost_USD]]/Table1[[#This Row],[Labour_Hours]],0)</f>
        <v>109.41379310344827</v>
      </c>
    </row>
    <row r="209" spans="1:16">
      <c r="A209" t="s">
        <v>263</v>
      </c>
      <c r="B209" s="8">
        <v>45907</v>
      </c>
      <c r="C209" t="s">
        <v>41</v>
      </c>
      <c r="D209" t="s">
        <v>28</v>
      </c>
      <c r="E209" t="s">
        <v>33</v>
      </c>
      <c r="F209" t="s">
        <v>38</v>
      </c>
      <c r="G209" t="s">
        <v>57</v>
      </c>
      <c r="H209" t="s">
        <v>58</v>
      </c>
      <c r="I209">
        <v>0</v>
      </c>
      <c r="J209">
        <v>1.17</v>
      </c>
      <c r="K209">
        <v>2.33</v>
      </c>
      <c r="L209">
        <v>1.93</v>
      </c>
      <c r="M209">
        <v>304.39999999999998</v>
      </c>
      <c r="N209">
        <v>77.2</v>
      </c>
      <c r="O209">
        <f>SUM($M209:N209)</f>
        <v>381.59999999999997</v>
      </c>
      <c r="P209" s="3">
        <f>IFERROR(Table1[[#This Row],[Total_Maintenance_Cost_USD]]/Table1[[#This Row],[Labour_Hours]],0)</f>
        <v>197.720207253886</v>
      </c>
    </row>
    <row r="210" spans="1:16">
      <c r="A210" t="s">
        <v>264</v>
      </c>
      <c r="B210" s="8">
        <v>45907</v>
      </c>
      <c r="C210" t="s">
        <v>79</v>
      </c>
      <c r="D210" t="s">
        <v>28</v>
      </c>
      <c r="E210" t="s">
        <v>37</v>
      </c>
      <c r="F210" t="s">
        <v>30</v>
      </c>
      <c r="G210" t="s">
        <v>20</v>
      </c>
      <c r="H210" t="s">
        <v>21</v>
      </c>
      <c r="I210">
        <v>0</v>
      </c>
      <c r="J210">
        <v>0.71</v>
      </c>
      <c r="K210">
        <v>1.81</v>
      </c>
      <c r="L210">
        <v>1.53</v>
      </c>
      <c r="M210">
        <v>298.76</v>
      </c>
      <c r="N210">
        <v>76.5</v>
      </c>
      <c r="O210">
        <f>SUM($M210:N210)</f>
        <v>375.26</v>
      </c>
      <c r="P210" s="3">
        <f>IFERROR(Table1[[#This Row],[Total_Maintenance_Cost_USD]]/Table1[[#This Row],[Labour_Hours]],0)</f>
        <v>245.26797385620915</v>
      </c>
    </row>
    <row r="211" spans="1:16">
      <c r="A211" t="s">
        <v>265</v>
      </c>
      <c r="B211" s="8">
        <v>45907</v>
      </c>
      <c r="C211" t="s">
        <v>61</v>
      </c>
      <c r="D211" t="s">
        <v>44</v>
      </c>
      <c r="E211" t="s">
        <v>51</v>
      </c>
      <c r="F211" t="s">
        <v>62</v>
      </c>
      <c r="G211" t="s">
        <v>20</v>
      </c>
      <c r="H211" t="s">
        <v>45</v>
      </c>
      <c r="I211">
        <v>1</v>
      </c>
      <c r="J211">
        <v>4.18</v>
      </c>
      <c r="K211">
        <v>2.11</v>
      </c>
      <c r="L211">
        <v>2.41</v>
      </c>
      <c r="M211">
        <v>691.69</v>
      </c>
      <c r="N211">
        <v>120.5</v>
      </c>
      <c r="O211">
        <f>SUM($M211:N211)</f>
        <v>812.19</v>
      </c>
      <c r="P211" s="3">
        <f>IFERROR(Table1[[#This Row],[Total_Maintenance_Cost_USD]]/Table1[[#This Row],[Labour_Hours]],0)</f>
        <v>337.00829875518673</v>
      </c>
    </row>
    <row r="212" spans="1:16">
      <c r="A212" t="s">
        <v>266</v>
      </c>
      <c r="B212" s="8">
        <v>45908</v>
      </c>
      <c r="C212" t="s">
        <v>16</v>
      </c>
      <c r="D212" t="s">
        <v>28</v>
      </c>
      <c r="E212" t="s">
        <v>29</v>
      </c>
      <c r="F212" t="s">
        <v>38</v>
      </c>
      <c r="G212" t="s">
        <v>20</v>
      </c>
      <c r="H212" t="s">
        <v>55</v>
      </c>
      <c r="I212">
        <v>0</v>
      </c>
      <c r="J212">
        <v>0.64</v>
      </c>
      <c r="K212">
        <v>1.39</v>
      </c>
      <c r="L212">
        <v>1.55</v>
      </c>
      <c r="M212">
        <v>123.56</v>
      </c>
      <c r="N212">
        <v>69.75</v>
      </c>
      <c r="O212">
        <f>SUM($M212:N212)</f>
        <v>193.31</v>
      </c>
      <c r="P212" s="3">
        <f>IFERROR(Table1[[#This Row],[Total_Maintenance_Cost_USD]]/Table1[[#This Row],[Labour_Hours]],0)</f>
        <v>124.71612903225807</v>
      </c>
    </row>
    <row r="213" spans="1:16">
      <c r="A213" t="s">
        <v>267</v>
      </c>
      <c r="B213" s="8">
        <v>45912</v>
      </c>
      <c r="C213" t="s">
        <v>72</v>
      </c>
      <c r="D213" t="s">
        <v>17</v>
      </c>
      <c r="E213" t="s">
        <v>47</v>
      </c>
      <c r="F213" t="s">
        <v>62</v>
      </c>
      <c r="G213" t="s">
        <v>20</v>
      </c>
      <c r="H213" t="s">
        <v>25</v>
      </c>
      <c r="I213">
        <v>1</v>
      </c>
      <c r="J213">
        <v>9.1</v>
      </c>
      <c r="K213">
        <v>5.92</v>
      </c>
      <c r="L213">
        <v>6.16</v>
      </c>
      <c r="M213">
        <v>1153.8599999999999</v>
      </c>
      <c r="N213">
        <v>277.2</v>
      </c>
      <c r="O213">
        <f>SUM($M213:N213)</f>
        <v>1431.06</v>
      </c>
      <c r="P213" s="3">
        <f>IFERROR(Table1[[#This Row],[Total_Maintenance_Cost_USD]]/Table1[[#This Row],[Labour_Hours]],0)</f>
        <v>232.31493506493504</v>
      </c>
    </row>
    <row r="214" spans="1:16">
      <c r="A214" t="s">
        <v>268</v>
      </c>
      <c r="B214" s="8">
        <v>45912</v>
      </c>
      <c r="C214" t="s">
        <v>72</v>
      </c>
      <c r="D214" t="s">
        <v>28</v>
      </c>
      <c r="E214" t="s">
        <v>37</v>
      </c>
      <c r="F214" t="s">
        <v>38</v>
      </c>
      <c r="G214" t="s">
        <v>20</v>
      </c>
      <c r="H214" t="s">
        <v>58</v>
      </c>
      <c r="I214">
        <v>0</v>
      </c>
      <c r="J214">
        <v>0.49</v>
      </c>
      <c r="K214">
        <v>2.11</v>
      </c>
      <c r="L214">
        <v>2.16</v>
      </c>
      <c r="M214">
        <v>123.68</v>
      </c>
      <c r="N214">
        <v>75.599999999999994</v>
      </c>
      <c r="O214">
        <f>SUM($M214:N214)</f>
        <v>199.28</v>
      </c>
      <c r="P214" s="3">
        <f>IFERROR(Table1[[#This Row],[Total_Maintenance_Cost_USD]]/Table1[[#This Row],[Labour_Hours]],0)</f>
        <v>92.259259259259252</v>
      </c>
    </row>
    <row r="215" spans="1:16">
      <c r="A215" t="s">
        <v>269</v>
      </c>
      <c r="B215" s="8">
        <v>45912</v>
      </c>
      <c r="C215" t="s">
        <v>53</v>
      </c>
      <c r="D215" t="s">
        <v>28</v>
      </c>
      <c r="E215" t="s">
        <v>29</v>
      </c>
      <c r="F215" t="s">
        <v>30</v>
      </c>
      <c r="G215" t="s">
        <v>20</v>
      </c>
      <c r="H215" t="s">
        <v>45</v>
      </c>
      <c r="I215">
        <v>0</v>
      </c>
      <c r="J215">
        <v>0.2</v>
      </c>
      <c r="K215">
        <v>1.21</v>
      </c>
      <c r="L215">
        <v>1.38</v>
      </c>
      <c r="M215">
        <v>251.88</v>
      </c>
      <c r="N215">
        <v>62.1</v>
      </c>
      <c r="O215">
        <f>SUM($M215:N215)</f>
        <v>313.98</v>
      </c>
      <c r="P215" s="3">
        <f>IFERROR(Table1[[#This Row],[Total_Maintenance_Cost_USD]]/Table1[[#This Row],[Labour_Hours]],0)</f>
        <v>227.52173913043481</v>
      </c>
    </row>
    <row r="216" spans="1:16">
      <c r="A216" t="s">
        <v>270</v>
      </c>
      <c r="B216" s="8">
        <v>45913</v>
      </c>
      <c r="C216" t="s">
        <v>72</v>
      </c>
      <c r="D216" t="s">
        <v>28</v>
      </c>
      <c r="E216" t="s">
        <v>42</v>
      </c>
      <c r="F216" t="s">
        <v>38</v>
      </c>
      <c r="G216" t="s">
        <v>63</v>
      </c>
      <c r="H216" t="s">
        <v>34</v>
      </c>
      <c r="I216">
        <v>0</v>
      </c>
      <c r="J216">
        <v>1.1299999999999999</v>
      </c>
      <c r="K216">
        <v>0.87</v>
      </c>
      <c r="L216">
        <v>0.71</v>
      </c>
      <c r="M216">
        <v>334.99</v>
      </c>
      <c r="N216">
        <v>31.95</v>
      </c>
      <c r="O216">
        <f>SUM($M216:N216)</f>
        <v>366.94</v>
      </c>
      <c r="P216" s="3">
        <f>IFERROR(Table1[[#This Row],[Total_Maintenance_Cost_USD]]/Table1[[#This Row],[Labour_Hours]],0)</f>
        <v>516.81690140845069</v>
      </c>
    </row>
    <row r="217" spans="1:16">
      <c r="A217" t="s">
        <v>271</v>
      </c>
      <c r="B217" s="8">
        <v>45913</v>
      </c>
      <c r="C217" t="s">
        <v>61</v>
      </c>
      <c r="D217" t="s">
        <v>44</v>
      </c>
      <c r="E217" t="s">
        <v>24</v>
      </c>
      <c r="F217" t="s">
        <v>30</v>
      </c>
      <c r="G217" t="s">
        <v>57</v>
      </c>
      <c r="H217" t="s">
        <v>39</v>
      </c>
      <c r="I217">
        <v>1</v>
      </c>
      <c r="J217">
        <v>0.19</v>
      </c>
      <c r="K217">
        <v>0.67</v>
      </c>
      <c r="L217">
        <v>0.73</v>
      </c>
      <c r="M217">
        <v>1024.26</v>
      </c>
      <c r="N217">
        <v>32.85</v>
      </c>
      <c r="O217">
        <f>SUM($M217:N217)</f>
        <v>1057.1099999999999</v>
      </c>
      <c r="P217" s="3">
        <f>IFERROR(Table1[[#This Row],[Total_Maintenance_Cost_USD]]/Table1[[#This Row],[Labour_Hours]],0)</f>
        <v>1448.0958904109589</v>
      </c>
    </row>
    <row r="218" spans="1:16">
      <c r="A218" t="s">
        <v>272</v>
      </c>
      <c r="B218" s="8">
        <v>45913</v>
      </c>
      <c r="C218" t="s">
        <v>23</v>
      </c>
      <c r="D218" t="s">
        <v>28</v>
      </c>
      <c r="E218" t="s">
        <v>42</v>
      </c>
      <c r="F218" t="s">
        <v>30</v>
      </c>
      <c r="G218" t="s">
        <v>20</v>
      </c>
      <c r="H218" t="s">
        <v>45</v>
      </c>
      <c r="I218">
        <v>0</v>
      </c>
      <c r="J218">
        <v>0</v>
      </c>
      <c r="K218">
        <v>0.62</v>
      </c>
      <c r="L218">
        <v>0.7</v>
      </c>
      <c r="M218">
        <v>187.53</v>
      </c>
      <c r="N218">
        <v>31.5</v>
      </c>
      <c r="O218">
        <f>SUM($M218:N218)</f>
        <v>219.03</v>
      </c>
      <c r="P218" s="3">
        <f>IFERROR(Table1[[#This Row],[Total_Maintenance_Cost_USD]]/Table1[[#This Row],[Labour_Hours]],0)</f>
        <v>312.90000000000003</v>
      </c>
    </row>
    <row r="219" spans="1:16">
      <c r="A219" t="s">
        <v>273</v>
      </c>
      <c r="B219" s="8">
        <v>45914</v>
      </c>
      <c r="C219" t="s">
        <v>41</v>
      </c>
      <c r="D219" t="s">
        <v>17</v>
      </c>
      <c r="E219" t="s">
        <v>68</v>
      </c>
      <c r="F219" t="s">
        <v>62</v>
      </c>
      <c r="G219" t="s">
        <v>20</v>
      </c>
      <c r="H219" t="s">
        <v>25</v>
      </c>
      <c r="I219">
        <v>1</v>
      </c>
      <c r="J219">
        <v>8.24</v>
      </c>
      <c r="K219">
        <v>8.0500000000000007</v>
      </c>
      <c r="L219">
        <v>9.86</v>
      </c>
      <c r="M219">
        <v>1636.91</v>
      </c>
      <c r="N219">
        <v>443.7</v>
      </c>
      <c r="O219">
        <f>SUM($M219:N219)</f>
        <v>2080.61</v>
      </c>
      <c r="P219" s="3">
        <f>IFERROR(Table1[[#This Row],[Total_Maintenance_Cost_USD]]/Table1[[#This Row],[Labour_Hours]],0)</f>
        <v>211.01521298174444</v>
      </c>
    </row>
    <row r="220" spans="1:16">
      <c r="A220" t="s">
        <v>274</v>
      </c>
      <c r="B220" s="8">
        <v>45915</v>
      </c>
      <c r="C220" t="s">
        <v>23</v>
      </c>
      <c r="D220" t="s">
        <v>28</v>
      </c>
      <c r="E220" t="s">
        <v>37</v>
      </c>
      <c r="F220" t="s">
        <v>38</v>
      </c>
      <c r="G220" t="s">
        <v>63</v>
      </c>
      <c r="H220" t="s">
        <v>55</v>
      </c>
      <c r="I220">
        <v>0</v>
      </c>
      <c r="J220">
        <v>0.78</v>
      </c>
      <c r="K220">
        <v>1.07</v>
      </c>
      <c r="L220">
        <v>1</v>
      </c>
      <c r="M220">
        <v>175.11</v>
      </c>
      <c r="N220">
        <v>40</v>
      </c>
      <c r="O220">
        <f>SUM($M220:N220)</f>
        <v>215.11</v>
      </c>
      <c r="P220" s="3">
        <f>IFERROR(Table1[[#This Row],[Total_Maintenance_Cost_USD]]/Table1[[#This Row],[Labour_Hours]],0)</f>
        <v>215.11</v>
      </c>
    </row>
    <row r="221" spans="1:16">
      <c r="A221" t="s">
        <v>275</v>
      </c>
      <c r="B221" s="8">
        <v>45919</v>
      </c>
      <c r="C221" t="s">
        <v>61</v>
      </c>
      <c r="D221" t="s">
        <v>17</v>
      </c>
      <c r="E221" t="s">
        <v>18</v>
      </c>
      <c r="F221" t="s">
        <v>62</v>
      </c>
      <c r="G221" t="s">
        <v>63</v>
      </c>
      <c r="H221" t="s">
        <v>45</v>
      </c>
      <c r="I221">
        <v>1</v>
      </c>
      <c r="J221">
        <v>8.8699999999999992</v>
      </c>
      <c r="K221">
        <v>2.1</v>
      </c>
      <c r="L221">
        <v>1.74</v>
      </c>
      <c r="M221">
        <v>1606.25</v>
      </c>
      <c r="N221">
        <v>69.599999999999994</v>
      </c>
      <c r="O221">
        <f>SUM($M221:N221)</f>
        <v>1675.85</v>
      </c>
      <c r="P221" s="3">
        <f>IFERROR(Table1[[#This Row],[Total_Maintenance_Cost_USD]]/Table1[[#This Row],[Labour_Hours]],0)</f>
        <v>963.13218390804593</v>
      </c>
    </row>
    <row r="222" spans="1:16">
      <c r="A222" t="s">
        <v>276</v>
      </c>
      <c r="B222" s="8">
        <v>45919</v>
      </c>
      <c r="C222" t="s">
        <v>79</v>
      </c>
      <c r="D222" t="s">
        <v>44</v>
      </c>
      <c r="E222" t="s">
        <v>68</v>
      </c>
      <c r="F222" t="s">
        <v>30</v>
      </c>
      <c r="G222" t="s">
        <v>20</v>
      </c>
      <c r="H222" t="s">
        <v>21</v>
      </c>
      <c r="I222">
        <v>1</v>
      </c>
      <c r="J222">
        <v>2.8</v>
      </c>
      <c r="K222">
        <v>1.25</v>
      </c>
      <c r="L222">
        <v>1.59</v>
      </c>
      <c r="M222">
        <v>1012.54</v>
      </c>
      <c r="N222">
        <v>55.65</v>
      </c>
      <c r="O222">
        <f>SUM($M222:N222)</f>
        <v>1068.19</v>
      </c>
      <c r="P222" s="3">
        <f>IFERROR(Table1[[#This Row],[Total_Maintenance_Cost_USD]]/Table1[[#This Row],[Labour_Hours]],0)</f>
        <v>671.8176100628931</v>
      </c>
    </row>
    <row r="223" spans="1:16">
      <c r="A223" t="s">
        <v>277</v>
      </c>
      <c r="B223" s="8">
        <v>45919</v>
      </c>
      <c r="C223" t="s">
        <v>72</v>
      </c>
      <c r="D223" t="s">
        <v>44</v>
      </c>
      <c r="E223" t="s">
        <v>51</v>
      </c>
      <c r="F223" t="s">
        <v>30</v>
      </c>
      <c r="G223" t="s">
        <v>20</v>
      </c>
      <c r="H223" t="s">
        <v>69</v>
      </c>
      <c r="I223">
        <v>1</v>
      </c>
      <c r="J223">
        <v>4.04</v>
      </c>
      <c r="K223">
        <v>4.6500000000000004</v>
      </c>
      <c r="L223">
        <v>6.27</v>
      </c>
      <c r="M223">
        <v>824.63</v>
      </c>
      <c r="N223">
        <v>219.45</v>
      </c>
      <c r="O223">
        <f>SUM($M223:N223)</f>
        <v>1044.08</v>
      </c>
      <c r="P223" s="3">
        <f>IFERROR(Table1[[#This Row],[Total_Maintenance_Cost_USD]]/Table1[[#This Row],[Labour_Hours]],0)</f>
        <v>166.51993620414672</v>
      </c>
    </row>
    <row r="224" spans="1:16">
      <c r="A224" t="s">
        <v>278</v>
      </c>
      <c r="B224" s="8">
        <v>45920</v>
      </c>
      <c r="C224" t="s">
        <v>36</v>
      </c>
      <c r="D224" t="s">
        <v>28</v>
      </c>
      <c r="E224" t="s">
        <v>37</v>
      </c>
      <c r="F224" t="s">
        <v>30</v>
      </c>
      <c r="G224" t="s">
        <v>20</v>
      </c>
      <c r="H224" t="s">
        <v>34</v>
      </c>
      <c r="I224">
        <v>0</v>
      </c>
      <c r="J224">
        <v>0.09</v>
      </c>
      <c r="K224">
        <v>0.98</v>
      </c>
      <c r="L224">
        <v>1.05</v>
      </c>
      <c r="M224">
        <v>188.92</v>
      </c>
      <c r="N224">
        <v>47.25</v>
      </c>
      <c r="O224">
        <f>SUM($M224:N224)</f>
        <v>236.17</v>
      </c>
      <c r="P224" s="3">
        <f>IFERROR(Table1[[#This Row],[Total_Maintenance_Cost_USD]]/Table1[[#This Row],[Labour_Hours]],0)</f>
        <v>224.9238095238095</v>
      </c>
    </row>
    <row r="225" spans="1:16">
      <c r="A225" t="s">
        <v>279</v>
      </c>
      <c r="B225" s="8">
        <v>45921</v>
      </c>
      <c r="C225" t="s">
        <v>61</v>
      </c>
      <c r="D225" t="s">
        <v>44</v>
      </c>
      <c r="E225" t="s">
        <v>51</v>
      </c>
      <c r="F225" t="s">
        <v>30</v>
      </c>
      <c r="G225" t="s">
        <v>20</v>
      </c>
      <c r="H225" t="s">
        <v>45</v>
      </c>
      <c r="I225">
        <v>1</v>
      </c>
      <c r="J225">
        <v>2.93</v>
      </c>
      <c r="K225">
        <v>4.6500000000000004</v>
      </c>
      <c r="L225">
        <v>4</v>
      </c>
      <c r="M225">
        <v>859.35</v>
      </c>
      <c r="N225">
        <v>200</v>
      </c>
      <c r="O225">
        <f>SUM($M225:N225)</f>
        <v>1059.3499999999999</v>
      </c>
      <c r="P225" s="3">
        <f>IFERROR(Table1[[#This Row],[Total_Maintenance_Cost_USD]]/Table1[[#This Row],[Labour_Hours]],0)</f>
        <v>264.83749999999998</v>
      </c>
    </row>
    <row r="226" spans="1:16">
      <c r="A226" t="s">
        <v>280</v>
      </c>
      <c r="B226" s="8">
        <v>45921</v>
      </c>
      <c r="C226" t="s">
        <v>79</v>
      </c>
      <c r="D226" t="s">
        <v>28</v>
      </c>
      <c r="E226" t="s">
        <v>42</v>
      </c>
      <c r="F226" t="s">
        <v>30</v>
      </c>
      <c r="G226" t="s">
        <v>20</v>
      </c>
      <c r="H226" t="s">
        <v>39</v>
      </c>
      <c r="I226">
        <v>0</v>
      </c>
      <c r="J226">
        <v>1.0900000000000001</v>
      </c>
      <c r="K226">
        <v>0.7</v>
      </c>
      <c r="L226">
        <v>0.82</v>
      </c>
      <c r="M226">
        <v>147.24</v>
      </c>
      <c r="N226">
        <v>32.799999999999997</v>
      </c>
      <c r="O226">
        <f>SUM($M226:N226)</f>
        <v>180.04000000000002</v>
      </c>
      <c r="P226" s="3">
        <f>IFERROR(Table1[[#This Row],[Total_Maintenance_Cost_USD]]/Table1[[#This Row],[Labour_Hours]],0)</f>
        <v>219.56097560975613</v>
      </c>
    </row>
    <row r="227" spans="1:16">
      <c r="A227" t="s">
        <v>281</v>
      </c>
      <c r="B227" s="8">
        <v>45926</v>
      </c>
      <c r="C227" t="s">
        <v>53</v>
      </c>
      <c r="D227" t="s">
        <v>28</v>
      </c>
      <c r="E227" t="s">
        <v>33</v>
      </c>
      <c r="F227" t="s">
        <v>38</v>
      </c>
      <c r="G227" t="s">
        <v>20</v>
      </c>
      <c r="H227" t="s">
        <v>55</v>
      </c>
      <c r="I227">
        <v>0</v>
      </c>
      <c r="J227">
        <v>1.1399999999999999</v>
      </c>
      <c r="K227">
        <v>1.1200000000000001</v>
      </c>
      <c r="L227">
        <v>1.1299999999999999</v>
      </c>
      <c r="M227">
        <v>209.56</v>
      </c>
      <c r="N227">
        <v>45.2</v>
      </c>
      <c r="O227">
        <f>SUM($M227:N227)</f>
        <v>254.76</v>
      </c>
      <c r="P227" s="3">
        <f>IFERROR(Table1[[#This Row],[Total_Maintenance_Cost_USD]]/Table1[[#This Row],[Labour_Hours]],0)</f>
        <v>225.45132743362834</v>
      </c>
    </row>
    <row r="228" spans="1:16">
      <c r="A228" t="s">
        <v>282</v>
      </c>
      <c r="B228" s="8">
        <v>45926</v>
      </c>
      <c r="C228" t="s">
        <v>16</v>
      </c>
      <c r="D228" t="s">
        <v>17</v>
      </c>
      <c r="E228" t="s">
        <v>68</v>
      </c>
      <c r="F228" t="s">
        <v>19</v>
      </c>
      <c r="G228" t="s">
        <v>20</v>
      </c>
      <c r="H228" t="s">
        <v>55</v>
      </c>
      <c r="I228">
        <v>1</v>
      </c>
      <c r="J228">
        <v>16.920000000000002</v>
      </c>
      <c r="K228">
        <v>13.73</v>
      </c>
      <c r="L228">
        <v>15.18</v>
      </c>
      <c r="M228">
        <v>1179.29</v>
      </c>
      <c r="N228">
        <v>683.1</v>
      </c>
      <c r="O228">
        <f>SUM($M228:N228)</f>
        <v>1862.3899999999999</v>
      </c>
      <c r="P228" s="3">
        <f>IFERROR(Table1[[#This Row],[Total_Maintenance_Cost_USD]]/Table1[[#This Row],[Labour_Hours]],0)</f>
        <v>122.6870882740448</v>
      </c>
    </row>
    <row r="229" spans="1:16">
      <c r="A229" t="s">
        <v>283</v>
      </c>
      <c r="B229" s="8">
        <v>45929</v>
      </c>
      <c r="C229" t="s">
        <v>61</v>
      </c>
      <c r="D229" t="s">
        <v>28</v>
      </c>
      <c r="E229" t="s">
        <v>42</v>
      </c>
      <c r="F229" t="s">
        <v>38</v>
      </c>
      <c r="G229" t="s">
        <v>20</v>
      </c>
      <c r="H229" t="s">
        <v>69</v>
      </c>
      <c r="I229">
        <v>0</v>
      </c>
      <c r="J229">
        <v>0.36</v>
      </c>
      <c r="K229">
        <v>2.21</v>
      </c>
      <c r="L229">
        <v>2.2599999999999998</v>
      </c>
      <c r="M229">
        <v>187.33</v>
      </c>
      <c r="N229">
        <v>90.4</v>
      </c>
      <c r="O229">
        <f>SUM($M229:N229)</f>
        <v>277.73</v>
      </c>
      <c r="P229" s="3">
        <f>IFERROR(Table1[[#This Row],[Total_Maintenance_Cost_USD]]/Table1[[#This Row],[Labour_Hours]],0)</f>
        <v>122.88938053097347</v>
      </c>
    </row>
    <row r="230" spans="1:16">
      <c r="A230" t="s">
        <v>284</v>
      </c>
      <c r="B230" s="8">
        <v>45929</v>
      </c>
      <c r="C230" t="s">
        <v>23</v>
      </c>
      <c r="D230" t="s">
        <v>17</v>
      </c>
      <c r="E230" t="s">
        <v>24</v>
      </c>
      <c r="F230" t="s">
        <v>19</v>
      </c>
      <c r="G230" t="s">
        <v>20</v>
      </c>
      <c r="H230" t="s">
        <v>21</v>
      </c>
      <c r="I230">
        <v>1</v>
      </c>
      <c r="J230">
        <v>5.25</v>
      </c>
      <c r="K230">
        <v>3.82</v>
      </c>
      <c r="L230">
        <v>5.13</v>
      </c>
      <c r="M230">
        <v>1923.42</v>
      </c>
      <c r="N230">
        <v>205.2</v>
      </c>
      <c r="O230">
        <f>SUM($M230:N230)</f>
        <v>2128.62</v>
      </c>
      <c r="P230" s="3">
        <f>IFERROR(Table1[[#This Row],[Total_Maintenance_Cost_USD]]/Table1[[#This Row],[Labour_Hours]],0)</f>
        <v>414.93567251461985</v>
      </c>
    </row>
    <row r="231" spans="1:16">
      <c r="A231" t="s">
        <v>285</v>
      </c>
      <c r="B231" s="8">
        <v>45934</v>
      </c>
      <c r="C231" t="s">
        <v>72</v>
      </c>
      <c r="D231" t="s">
        <v>44</v>
      </c>
      <c r="E231" t="s">
        <v>24</v>
      </c>
      <c r="F231" t="s">
        <v>30</v>
      </c>
      <c r="G231" t="s">
        <v>20</v>
      </c>
      <c r="H231" t="s">
        <v>45</v>
      </c>
      <c r="I231">
        <v>1</v>
      </c>
      <c r="J231">
        <v>1.97</v>
      </c>
      <c r="K231">
        <v>3.64</v>
      </c>
      <c r="L231">
        <v>3.84</v>
      </c>
      <c r="M231">
        <v>623.97</v>
      </c>
      <c r="N231">
        <v>134.4</v>
      </c>
      <c r="O231">
        <f>SUM($M231:N231)</f>
        <v>758.37</v>
      </c>
      <c r="P231" s="3">
        <f>IFERROR(Table1[[#This Row],[Total_Maintenance_Cost_USD]]/Table1[[#This Row],[Labour_Hours]],0)</f>
        <v>197.4921875</v>
      </c>
    </row>
    <row r="232" spans="1:16">
      <c r="A232" t="s">
        <v>286</v>
      </c>
      <c r="B232" s="8">
        <v>45934</v>
      </c>
      <c r="C232" t="s">
        <v>49</v>
      </c>
      <c r="D232" t="s">
        <v>28</v>
      </c>
      <c r="E232" t="s">
        <v>33</v>
      </c>
      <c r="F232" t="s">
        <v>30</v>
      </c>
      <c r="G232" t="s">
        <v>20</v>
      </c>
      <c r="H232" t="s">
        <v>21</v>
      </c>
      <c r="I232">
        <v>0</v>
      </c>
      <c r="J232">
        <v>0.38</v>
      </c>
      <c r="K232">
        <v>0.97</v>
      </c>
      <c r="L232">
        <v>0.89</v>
      </c>
      <c r="M232">
        <v>245.56</v>
      </c>
      <c r="N232">
        <v>35.6</v>
      </c>
      <c r="O232">
        <f>SUM($M232:N232)</f>
        <v>281.16000000000003</v>
      </c>
      <c r="P232" s="3">
        <f>IFERROR(Table1[[#This Row],[Total_Maintenance_Cost_USD]]/Table1[[#This Row],[Labour_Hours]],0)</f>
        <v>315.91011235955057</v>
      </c>
    </row>
    <row r="233" spans="1:16">
      <c r="A233" t="s">
        <v>287</v>
      </c>
      <c r="B233" s="8">
        <v>45934</v>
      </c>
      <c r="C233" t="s">
        <v>16</v>
      </c>
      <c r="D233" t="s">
        <v>44</v>
      </c>
      <c r="E233" t="s">
        <v>54</v>
      </c>
      <c r="F233" t="s">
        <v>62</v>
      </c>
      <c r="G233" t="s">
        <v>20</v>
      </c>
      <c r="H233" t="s">
        <v>34</v>
      </c>
      <c r="I233">
        <v>1</v>
      </c>
      <c r="J233">
        <v>1.2</v>
      </c>
      <c r="K233">
        <v>2.35</v>
      </c>
      <c r="L233">
        <v>2.2999999999999998</v>
      </c>
      <c r="M233">
        <v>483.13</v>
      </c>
      <c r="N233">
        <v>80.5</v>
      </c>
      <c r="O233">
        <f>SUM($M233:N233)</f>
        <v>563.63</v>
      </c>
      <c r="P233" s="3">
        <f>IFERROR(Table1[[#This Row],[Total_Maintenance_Cost_USD]]/Table1[[#This Row],[Labour_Hours]],0)</f>
        <v>245.05652173913046</v>
      </c>
    </row>
    <row r="234" spans="1:16">
      <c r="A234" t="s">
        <v>288</v>
      </c>
      <c r="B234" s="8">
        <v>45935</v>
      </c>
      <c r="C234" t="s">
        <v>27</v>
      </c>
      <c r="D234" t="s">
        <v>44</v>
      </c>
      <c r="E234" t="s">
        <v>54</v>
      </c>
      <c r="F234" t="s">
        <v>30</v>
      </c>
      <c r="G234" t="s">
        <v>20</v>
      </c>
      <c r="H234" t="s">
        <v>25</v>
      </c>
      <c r="I234">
        <v>1</v>
      </c>
      <c r="J234">
        <v>1.37</v>
      </c>
      <c r="K234">
        <v>3.61</v>
      </c>
      <c r="L234">
        <v>3.59</v>
      </c>
      <c r="M234">
        <v>564.37</v>
      </c>
      <c r="N234">
        <v>143.6</v>
      </c>
      <c r="O234">
        <f>SUM($M234:N234)</f>
        <v>707.97</v>
      </c>
      <c r="P234" s="3">
        <f>IFERROR(Table1[[#This Row],[Total_Maintenance_Cost_USD]]/Table1[[#This Row],[Labour_Hours]],0)</f>
        <v>197.20612813370474</v>
      </c>
    </row>
    <row r="235" spans="1:16">
      <c r="A235" t="s">
        <v>289</v>
      </c>
      <c r="B235" s="8">
        <v>45935</v>
      </c>
      <c r="C235" t="s">
        <v>32</v>
      </c>
      <c r="D235" t="s">
        <v>28</v>
      </c>
      <c r="E235" t="s">
        <v>42</v>
      </c>
      <c r="F235" t="s">
        <v>38</v>
      </c>
      <c r="G235" t="s">
        <v>20</v>
      </c>
      <c r="H235" t="s">
        <v>39</v>
      </c>
      <c r="I235">
        <v>0</v>
      </c>
      <c r="J235">
        <v>0.7</v>
      </c>
      <c r="K235">
        <v>1.5</v>
      </c>
      <c r="L235">
        <v>1.38</v>
      </c>
      <c r="M235">
        <v>108.79</v>
      </c>
      <c r="N235">
        <v>69</v>
      </c>
      <c r="O235">
        <f>SUM($M235:N235)</f>
        <v>177.79000000000002</v>
      </c>
      <c r="P235" s="3">
        <f>IFERROR(Table1[[#This Row],[Total_Maintenance_Cost_USD]]/Table1[[#This Row],[Labour_Hours]],0)</f>
        <v>128.83333333333337</v>
      </c>
    </row>
    <row r="236" spans="1:16">
      <c r="A236" t="s">
        <v>290</v>
      </c>
      <c r="B236" s="8">
        <v>45936</v>
      </c>
      <c r="C236" t="s">
        <v>27</v>
      </c>
      <c r="D236" t="s">
        <v>17</v>
      </c>
      <c r="E236" t="s">
        <v>24</v>
      </c>
      <c r="F236" t="s">
        <v>62</v>
      </c>
      <c r="G236" t="s">
        <v>20</v>
      </c>
      <c r="H236" t="s">
        <v>39</v>
      </c>
      <c r="I236">
        <v>1</v>
      </c>
      <c r="J236">
        <v>7.85</v>
      </c>
      <c r="K236">
        <v>2.16</v>
      </c>
      <c r="L236">
        <v>2.2599999999999998</v>
      </c>
      <c r="M236">
        <v>1805.33</v>
      </c>
      <c r="N236">
        <v>79.099999999999994</v>
      </c>
      <c r="O236">
        <f>SUM($M236:N236)</f>
        <v>1884.4299999999998</v>
      </c>
      <c r="P236" s="3">
        <f>IFERROR(Table1[[#This Row],[Total_Maintenance_Cost_USD]]/Table1[[#This Row],[Labour_Hours]],0)</f>
        <v>833.81858407079642</v>
      </c>
    </row>
    <row r="237" spans="1:16">
      <c r="A237" t="s">
        <v>291</v>
      </c>
      <c r="B237" s="8">
        <v>45937</v>
      </c>
      <c r="C237" t="s">
        <v>79</v>
      </c>
      <c r="D237" t="s">
        <v>44</v>
      </c>
      <c r="E237" t="s">
        <v>47</v>
      </c>
      <c r="F237" t="s">
        <v>62</v>
      </c>
      <c r="G237" t="s">
        <v>20</v>
      </c>
      <c r="H237" t="s">
        <v>45</v>
      </c>
      <c r="I237">
        <v>1</v>
      </c>
      <c r="J237">
        <v>3.61</v>
      </c>
      <c r="K237">
        <v>4.1100000000000003</v>
      </c>
      <c r="L237">
        <v>5</v>
      </c>
      <c r="M237">
        <v>954.81</v>
      </c>
      <c r="N237">
        <v>200</v>
      </c>
      <c r="O237">
        <f>SUM($M237:N237)</f>
        <v>1154.81</v>
      </c>
      <c r="P237" s="3">
        <f>IFERROR(Table1[[#This Row],[Total_Maintenance_Cost_USD]]/Table1[[#This Row],[Labour_Hours]],0)</f>
        <v>230.96199999999999</v>
      </c>
    </row>
    <row r="238" spans="1:16">
      <c r="A238" t="s">
        <v>292</v>
      </c>
      <c r="B238" s="8">
        <v>45938</v>
      </c>
      <c r="C238" t="s">
        <v>32</v>
      </c>
      <c r="D238" t="s">
        <v>28</v>
      </c>
      <c r="E238" t="s">
        <v>42</v>
      </c>
      <c r="F238" t="s">
        <v>38</v>
      </c>
      <c r="G238" t="s">
        <v>20</v>
      </c>
      <c r="H238" t="s">
        <v>45</v>
      </c>
      <c r="I238">
        <v>0</v>
      </c>
      <c r="J238">
        <v>0</v>
      </c>
      <c r="K238">
        <v>0.86</v>
      </c>
      <c r="L238">
        <v>0.8</v>
      </c>
      <c r="M238">
        <v>210.38</v>
      </c>
      <c r="N238">
        <v>36</v>
      </c>
      <c r="O238">
        <f>SUM($M238:N238)</f>
        <v>246.38</v>
      </c>
      <c r="P238" s="3">
        <f>IFERROR(Table1[[#This Row],[Total_Maintenance_Cost_USD]]/Table1[[#This Row],[Labour_Hours]],0)</f>
        <v>307.97499999999997</v>
      </c>
    </row>
    <row r="239" spans="1:16">
      <c r="A239" t="s">
        <v>293</v>
      </c>
      <c r="B239" s="8">
        <v>45939</v>
      </c>
      <c r="C239" t="s">
        <v>41</v>
      </c>
      <c r="D239" t="s">
        <v>17</v>
      </c>
      <c r="E239" t="s">
        <v>68</v>
      </c>
      <c r="F239" t="s">
        <v>62</v>
      </c>
      <c r="G239" t="s">
        <v>20</v>
      </c>
      <c r="H239" t="s">
        <v>34</v>
      </c>
      <c r="I239">
        <v>1</v>
      </c>
      <c r="J239">
        <v>6.79</v>
      </c>
      <c r="K239">
        <v>15.02</v>
      </c>
      <c r="L239">
        <v>16.87</v>
      </c>
      <c r="M239">
        <v>1447.59</v>
      </c>
      <c r="N239">
        <v>590.45000000000005</v>
      </c>
      <c r="O239">
        <f>SUM($M239:N239)</f>
        <v>2038.04</v>
      </c>
      <c r="P239" s="3">
        <f>IFERROR(Table1[[#This Row],[Total_Maintenance_Cost_USD]]/Table1[[#This Row],[Labour_Hours]],0)</f>
        <v>120.80853586247777</v>
      </c>
    </row>
    <row r="240" spans="1:16">
      <c r="A240" t="s">
        <v>294</v>
      </c>
      <c r="B240" s="8">
        <v>45940</v>
      </c>
      <c r="C240" t="s">
        <v>65</v>
      </c>
      <c r="D240" t="s">
        <v>17</v>
      </c>
      <c r="E240" t="s">
        <v>51</v>
      </c>
      <c r="F240" t="s">
        <v>19</v>
      </c>
      <c r="G240" t="s">
        <v>20</v>
      </c>
      <c r="H240" t="s">
        <v>25</v>
      </c>
      <c r="I240">
        <v>1</v>
      </c>
      <c r="J240">
        <v>10.51</v>
      </c>
      <c r="K240">
        <v>6.54</v>
      </c>
      <c r="L240">
        <v>5.69</v>
      </c>
      <c r="M240">
        <v>20</v>
      </c>
      <c r="N240">
        <v>227.6</v>
      </c>
      <c r="O240">
        <f>SUM($M240:N240)</f>
        <v>247.6</v>
      </c>
      <c r="P240" s="3">
        <f>IFERROR(Table1[[#This Row],[Total_Maintenance_Cost_USD]]/Table1[[#This Row],[Labour_Hours]],0)</f>
        <v>43.514938488576448</v>
      </c>
    </row>
    <row r="241" spans="1:16">
      <c r="A241" t="s">
        <v>295</v>
      </c>
      <c r="B241" s="8">
        <v>45942</v>
      </c>
      <c r="C241" t="s">
        <v>72</v>
      </c>
      <c r="D241" t="s">
        <v>28</v>
      </c>
      <c r="E241" t="s">
        <v>29</v>
      </c>
      <c r="F241" t="s">
        <v>38</v>
      </c>
      <c r="G241" t="s">
        <v>20</v>
      </c>
      <c r="H241" t="s">
        <v>55</v>
      </c>
      <c r="I241">
        <v>0</v>
      </c>
      <c r="J241">
        <v>0.39</v>
      </c>
      <c r="K241">
        <v>0.97</v>
      </c>
      <c r="L241">
        <v>0.86</v>
      </c>
      <c r="M241">
        <v>76.97</v>
      </c>
      <c r="N241">
        <v>34.4</v>
      </c>
      <c r="O241">
        <f>SUM($M241:N241)</f>
        <v>111.37</v>
      </c>
      <c r="P241" s="3">
        <f>IFERROR(Table1[[#This Row],[Total_Maintenance_Cost_USD]]/Table1[[#This Row],[Labour_Hours]],0)</f>
        <v>129.5</v>
      </c>
    </row>
    <row r="242" spans="1:16">
      <c r="A242" t="s">
        <v>296</v>
      </c>
      <c r="B242" s="8">
        <v>45942</v>
      </c>
      <c r="C242" t="s">
        <v>16</v>
      </c>
      <c r="D242" t="s">
        <v>44</v>
      </c>
      <c r="E242" t="s">
        <v>54</v>
      </c>
      <c r="F242" t="s">
        <v>62</v>
      </c>
      <c r="G242" t="s">
        <v>20</v>
      </c>
      <c r="H242" t="s">
        <v>45</v>
      </c>
      <c r="I242">
        <v>1</v>
      </c>
      <c r="J242">
        <v>7.54</v>
      </c>
      <c r="K242">
        <v>6.08</v>
      </c>
      <c r="L242">
        <v>5.47</v>
      </c>
      <c r="M242">
        <v>703.88</v>
      </c>
      <c r="N242">
        <v>246.15</v>
      </c>
      <c r="O242">
        <f>SUM($M242:N242)</f>
        <v>950.03</v>
      </c>
      <c r="P242" s="3">
        <f>IFERROR(Table1[[#This Row],[Total_Maintenance_Cost_USD]]/Table1[[#This Row],[Labour_Hours]],0)</f>
        <v>173.68007312614259</v>
      </c>
    </row>
    <row r="243" spans="1:16">
      <c r="A243" t="s">
        <v>297</v>
      </c>
      <c r="B243" s="8">
        <v>45942</v>
      </c>
      <c r="C243" t="s">
        <v>23</v>
      </c>
      <c r="D243" t="s">
        <v>28</v>
      </c>
      <c r="E243" t="s">
        <v>42</v>
      </c>
      <c r="F243" t="s">
        <v>30</v>
      </c>
      <c r="G243" t="s">
        <v>20</v>
      </c>
      <c r="H243" t="s">
        <v>39</v>
      </c>
      <c r="I243">
        <v>0</v>
      </c>
      <c r="J243">
        <v>0.56000000000000005</v>
      </c>
      <c r="K243">
        <v>0.67</v>
      </c>
      <c r="L243">
        <v>0.73</v>
      </c>
      <c r="M243">
        <v>184.74</v>
      </c>
      <c r="N243">
        <v>25.55</v>
      </c>
      <c r="O243">
        <f>SUM($M243:N243)</f>
        <v>210.29000000000002</v>
      </c>
      <c r="P243" s="3">
        <f>IFERROR(Table1[[#This Row],[Total_Maintenance_Cost_USD]]/Table1[[#This Row],[Labour_Hours]],0)</f>
        <v>288.06849315068496</v>
      </c>
    </row>
    <row r="244" spans="1:16">
      <c r="A244" t="s">
        <v>298</v>
      </c>
      <c r="B244" s="8">
        <v>45942</v>
      </c>
      <c r="C244" t="s">
        <v>72</v>
      </c>
      <c r="D244" t="s">
        <v>28</v>
      </c>
      <c r="E244" t="s">
        <v>33</v>
      </c>
      <c r="F244" t="s">
        <v>38</v>
      </c>
      <c r="G244" t="s">
        <v>20</v>
      </c>
      <c r="H244" t="s">
        <v>25</v>
      </c>
      <c r="I244">
        <v>0</v>
      </c>
      <c r="J244">
        <v>0.32</v>
      </c>
      <c r="K244">
        <v>1.0900000000000001</v>
      </c>
      <c r="L244">
        <v>1.1499999999999999</v>
      </c>
      <c r="M244">
        <v>181.03</v>
      </c>
      <c r="N244">
        <v>51.75</v>
      </c>
      <c r="O244">
        <f>SUM($M244:N244)</f>
        <v>232.78</v>
      </c>
      <c r="P244" s="3">
        <f>IFERROR(Table1[[#This Row],[Total_Maintenance_Cost_USD]]/Table1[[#This Row],[Labour_Hours]],0)</f>
        <v>202.41739130434783</v>
      </c>
    </row>
    <row r="245" spans="1:16">
      <c r="A245" t="s">
        <v>299</v>
      </c>
      <c r="B245" s="8">
        <v>45943</v>
      </c>
      <c r="C245" t="s">
        <v>61</v>
      </c>
      <c r="D245" t="s">
        <v>28</v>
      </c>
      <c r="E245" t="s">
        <v>42</v>
      </c>
      <c r="F245" t="s">
        <v>38</v>
      </c>
      <c r="G245" t="s">
        <v>20</v>
      </c>
      <c r="H245" t="s">
        <v>45</v>
      </c>
      <c r="I245">
        <v>0</v>
      </c>
      <c r="J245">
        <v>0.69</v>
      </c>
      <c r="K245">
        <v>0.6</v>
      </c>
      <c r="L245">
        <v>0.55000000000000004</v>
      </c>
      <c r="M245">
        <v>132.59</v>
      </c>
      <c r="N245">
        <v>22</v>
      </c>
      <c r="O245">
        <f>SUM($M245:N245)</f>
        <v>154.59</v>
      </c>
      <c r="P245" s="3">
        <f>IFERROR(Table1[[#This Row],[Total_Maintenance_Cost_USD]]/Table1[[#This Row],[Labour_Hours]],0)</f>
        <v>281.07272727272726</v>
      </c>
    </row>
    <row r="246" spans="1:16">
      <c r="A246" t="s">
        <v>300</v>
      </c>
      <c r="B246" s="8">
        <v>45943</v>
      </c>
      <c r="C246" t="s">
        <v>72</v>
      </c>
      <c r="D246" t="s">
        <v>28</v>
      </c>
      <c r="E246" t="s">
        <v>29</v>
      </c>
      <c r="F246" t="s">
        <v>30</v>
      </c>
      <c r="G246" t="s">
        <v>20</v>
      </c>
      <c r="H246" t="s">
        <v>55</v>
      </c>
      <c r="I246">
        <v>0</v>
      </c>
      <c r="J246">
        <v>0.45</v>
      </c>
      <c r="K246">
        <v>1.42</v>
      </c>
      <c r="L246">
        <v>1.48</v>
      </c>
      <c r="M246">
        <v>114.82</v>
      </c>
      <c r="N246">
        <v>59.2</v>
      </c>
      <c r="O246">
        <f>SUM($M246:N246)</f>
        <v>174.01999999999998</v>
      </c>
      <c r="P246" s="3">
        <f>IFERROR(Table1[[#This Row],[Total_Maintenance_Cost_USD]]/Table1[[#This Row],[Labour_Hours]],0)</f>
        <v>117.58108108108107</v>
      </c>
    </row>
    <row r="247" spans="1:16">
      <c r="A247" t="s">
        <v>301</v>
      </c>
      <c r="B247" s="8">
        <v>45944</v>
      </c>
      <c r="C247" t="s">
        <v>41</v>
      </c>
      <c r="D247" t="s">
        <v>44</v>
      </c>
      <c r="E247" t="s">
        <v>68</v>
      </c>
      <c r="F247" t="s">
        <v>30</v>
      </c>
      <c r="G247" t="s">
        <v>20</v>
      </c>
      <c r="H247" t="s">
        <v>21</v>
      </c>
      <c r="I247">
        <v>1</v>
      </c>
      <c r="J247">
        <v>7.48</v>
      </c>
      <c r="K247">
        <v>6.14</v>
      </c>
      <c r="L247">
        <v>7.1</v>
      </c>
      <c r="M247">
        <v>975.08</v>
      </c>
      <c r="N247">
        <v>355</v>
      </c>
      <c r="O247">
        <f>SUM($M247:N247)</f>
        <v>1330.08</v>
      </c>
      <c r="P247" s="3">
        <f>IFERROR(Table1[[#This Row],[Total_Maintenance_Cost_USD]]/Table1[[#This Row],[Labour_Hours]],0)</f>
        <v>187.33521126760564</v>
      </c>
    </row>
    <row r="248" spans="1:16">
      <c r="A248" t="s">
        <v>302</v>
      </c>
      <c r="B248" s="8">
        <v>45944</v>
      </c>
      <c r="C248" t="s">
        <v>61</v>
      </c>
      <c r="D248" t="s">
        <v>28</v>
      </c>
      <c r="E248" t="s">
        <v>29</v>
      </c>
      <c r="F248" t="s">
        <v>38</v>
      </c>
      <c r="G248" t="s">
        <v>20</v>
      </c>
      <c r="H248" t="s">
        <v>55</v>
      </c>
      <c r="I248">
        <v>0</v>
      </c>
      <c r="J248">
        <v>0.35</v>
      </c>
      <c r="K248">
        <v>0.95</v>
      </c>
      <c r="L248">
        <v>0.81</v>
      </c>
      <c r="M248">
        <v>161.69</v>
      </c>
      <c r="N248">
        <v>32.4</v>
      </c>
      <c r="O248">
        <f>SUM($M248:N248)</f>
        <v>194.09</v>
      </c>
      <c r="P248" s="3">
        <f>IFERROR(Table1[[#This Row],[Total_Maintenance_Cost_USD]]/Table1[[#This Row],[Labour_Hours]],0)</f>
        <v>239.61728395061726</v>
      </c>
    </row>
    <row r="249" spans="1:16">
      <c r="A249" t="s">
        <v>303</v>
      </c>
      <c r="B249" s="8">
        <v>45945</v>
      </c>
      <c r="C249" t="s">
        <v>49</v>
      </c>
      <c r="D249" t="s">
        <v>44</v>
      </c>
      <c r="E249" t="s">
        <v>86</v>
      </c>
      <c r="F249" t="s">
        <v>62</v>
      </c>
      <c r="G249" t="s">
        <v>20</v>
      </c>
      <c r="H249" t="s">
        <v>34</v>
      </c>
      <c r="I249">
        <v>1</v>
      </c>
      <c r="J249">
        <v>2.91</v>
      </c>
      <c r="K249">
        <v>2.35</v>
      </c>
      <c r="L249">
        <v>2.0299999999999998</v>
      </c>
      <c r="M249">
        <v>1134.32</v>
      </c>
      <c r="N249">
        <v>91.35</v>
      </c>
      <c r="O249">
        <f>SUM($M249:N249)</f>
        <v>1225.6699999999998</v>
      </c>
      <c r="P249" s="3">
        <f>IFERROR(Table1[[#This Row],[Total_Maintenance_Cost_USD]]/Table1[[#This Row],[Labour_Hours]],0)</f>
        <v>603.77832512315274</v>
      </c>
    </row>
    <row r="250" spans="1:16">
      <c r="A250" t="s">
        <v>304</v>
      </c>
      <c r="B250" s="8">
        <v>45945</v>
      </c>
      <c r="C250" t="s">
        <v>61</v>
      </c>
      <c r="D250" t="s">
        <v>28</v>
      </c>
      <c r="E250" t="s">
        <v>29</v>
      </c>
      <c r="F250" t="s">
        <v>30</v>
      </c>
      <c r="G250" t="s">
        <v>20</v>
      </c>
      <c r="H250" t="s">
        <v>39</v>
      </c>
      <c r="I250">
        <v>0</v>
      </c>
      <c r="J250">
        <v>0.56000000000000005</v>
      </c>
      <c r="K250">
        <v>0.45</v>
      </c>
      <c r="L250">
        <v>0.5</v>
      </c>
      <c r="M250">
        <v>334.46</v>
      </c>
      <c r="N250">
        <v>22.5</v>
      </c>
      <c r="O250">
        <f>SUM($M250:N250)</f>
        <v>356.96</v>
      </c>
      <c r="P250" s="3">
        <f>IFERROR(Table1[[#This Row],[Total_Maintenance_Cost_USD]]/Table1[[#This Row],[Labour_Hours]],0)</f>
        <v>713.92</v>
      </c>
    </row>
    <row r="251" spans="1:16">
      <c r="A251" t="s">
        <v>305</v>
      </c>
      <c r="B251" s="8">
        <v>45945</v>
      </c>
      <c r="C251" t="s">
        <v>27</v>
      </c>
      <c r="D251" t="s">
        <v>28</v>
      </c>
      <c r="E251" t="s">
        <v>33</v>
      </c>
      <c r="F251" t="s">
        <v>38</v>
      </c>
      <c r="G251" t="s">
        <v>20</v>
      </c>
      <c r="H251" t="s">
        <v>55</v>
      </c>
      <c r="I251">
        <v>0</v>
      </c>
      <c r="J251">
        <v>0.56999999999999995</v>
      </c>
      <c r="K251">
        <v>1.96</v>
      </c>
      <c r="L251">
        <v>2.13</v>
      </c>
      <c r="M251">
        <v>213.36</v>
      </c>
      <c r="N251">
        <v>85.2</v>
      </c>
      <c r="O251">
        <f>SUM($M251:N251)</f>
        <v>298.56</v>
      </c>
      <c r="P251" s="3">
        <f>IFERROR(Table1[[#This Row],[Total_Maintenance_Cost_USD]]/Table1[[#This Row],[Labour_Hours]],0)</f>
        <v>140.16901408450704</v>
      </c>
    </row>
    <row r="252" spans="1:16">
      <c r="A252" t="s">
        <v>306</v>
      </c>
      <c r="B252" s="8">
        <v>45947</v>
      </c>
      <c r="C252" t="s">
        <v>53</v>
      </c>
      <c r="D252" t="s">
        <v>17</v>
      </c>
      <c r="E252" t="s">
        <v>54</v>
      </c>
      <c r="F252" t="s">
        <v>19</v>
      </c>
      <c r="G252" t="s">
        <v>20</v>
      </c>
      <c r="H252" t="s">
        <v>45</v>
      </c>
      <c r="I252">
        <v>1</v>
      </c>
      <c r="J252">
        <v>4.9800000000000004</v>
      </c>
      <c r="K252">
        <v>3.65</v>
      </c>
      <c r="L252">
        <v>4.75</v>
      </c>
      <c r="M252">
        <v>1684.27</v>
      </c>
      <c r="N252">
        <v>237.5</v>
      </c>
      <c r="O252">
        <f>SUM($M252:N252)</f>
        <v>1921.77</v>
      </c>
      <c r="P252" s="3">
        <f>IFERROR(Table1[[#This Row],[Total_Maintenance_Cost_USD]]/Table1[[#This Row],[Labour_Hours]],0)</f>
        <v>404.58315789473681</v>
      </c>
    </row>
    <row r="253" spans="1:16">
      <c r="A253" t="s">
        <v>307</v>
      </c>
      <c r="B253" s="8">
        <v>45948</v>
      </c>
      <c r="C253" t="s">
        <v>23</v>
      </c>
      <c r="D253" t="s">
        <v>17</v>
      </c>
      <c r="E253" t="s">
        <v>54</v>
      </c>
      <c r="F253" t="s">
        <v>62</v>
      </c>
      <c r="G253" t="s">
        <v>57</v>
      </c>
      <c r="H253" t="s">
        <v>45</v>
      </c>
      <c r="I253">
        <v>1</v>
      </c>
      <c r="J253">
        <v>8.06</v>
      </c>
      <c r="K253">
        <v>5.44</v>
      </c>
      <c r="L253">
        <v>4.72</v>
      </c>
      <c r="M253">
        <v>1556.24</v>
      </c>
      <c r="N253">
        <v>188.8</v>
      </c>
      <c r="O253">
        <f>SUM($M253:N253)</f>
        <v>1745.04</v>
      </c>
      <c r="P253" s="3">
        <f>IFERROR(Table1[[#This Row],[Total_Maintenance_Cost_USD]]/Table1[[#This Row],[Labour_Hours]],0)</f>
        <v>369.71186440677968</v>
      </c>
    </row>
    <row r="254" spans="1:16">
      <c r="A254" t="s">
        <v>308</v>
      </c>
      <c r="B254" s="8">
        <v>45948</v>
      </c>
      <c r="C254" t="s">
        <v>16</v>
      </c>
      <c r="D254" t="s">
        <v>17</v>
      </c>
      <c r="E254" t="s">
        <v>54</v>
      </c>
      <c r="F254" t="s">
        <v>62</v>
      </c>
      <c r="G254" t="s">
        <v>20</v>
      </c>
      <c r="H254" t="s">
        <v>25</v>
      </c>
      <c r="I254">
        <v>1</v>
      </c>
      <c r="J254">
        <v>6.3</v>
      </c>
      <c r="K254">
        <v>7.26</v>
      </c>
      <c r="L254">
        <v>7.52</v>
      </c>
      <c r="M254">
        <v>1067.71</v>
      </c>
      <c r="N254">
        <v>300.8</v>
      </c>
      <c r="O254">
        <f>SUM($M254:N254)</f>
        <v>1368.51</v>
      </c>
      <c r="P254" s="3">
        <f>IFERROR(Table1[[#This Row],[Total_Maintenance_Cost_USD]]/Table1[[#This Row],[Labour_Hours]],0)</f>
        <v>181.98271276595744</v>
      </c>
    </row>
    <row r="255" spans="1:16">
      <c r="A255" t="s">
        <v>309</v>
      </c>
      <c r="B255" s="8">
        <v>45948</v>
      </c>
      <c r="C255" t="s">
        <v>16</v>
      </c>
      <c r="D255" t="s">
        <v>28</v>
      </c>
      <c r="E255" t="s">
        <v>33</v>
      </c>
      <c r="F255" t="s">
        <v>30</v>
      </c>
      <c r="G255" t="s">
        <v>20</v>
      </c>
      <c r="H255" t="s">
        <v>55</v>
      </c>
      <c r="I255">
        <v>0</v>
      </c>
      <c r="J255">
        <v>0.85</v>
      </c>
      <c r="K255">
        <v>1.65</v>
      </c>
      <c r="L255">
        <v>1.65</v>
      </c>
      <c r="M255">
        <v>220.73</v>
      </c>
      <c r="N255">
        <v>74.25</v>
      </c>
      <c r="O255">
        <f>SUM($M255:N255)</f>
        <v>294.98</v>
      </c>
      <c r="P255" s="3">
        <f>IFERROR(Table1[[#This Row],[Total_Maintenance_Cost_USD]]/Table1[[#This Row],[Labour_Hours]],0)</f>
        <v>178.77575757575761</v>
      </c>
    </row>
    <row r="256" spans="1:16">
      <c r="A256" t="s">
        <v>310</v>
      </c>
      <c r="B256" s="8">
        <v>45951</v>
      </c>
      <c r="C256" t="s">
        <v>49</v>
      </c>
      <c r="D256" t="s">
        <v>28</v>
      </c>
      <c r="E256" t="s">
        <v>42</v>
      </c>
      <c r="F256" t="s">
        <v>38</v>
      </c>
      <c r="G256" t="s">
        <v>20</v>
      </c>
      <c r="H256" t="s">
        <v>58</v>
      </c>
      <c r="I256">
        <v>0</v>
      </c>
      <c r="J256">
        <v>0.44</v>
      </c>
      <c r="K256">
        <v>0.27</v>
      </c>
      <c r="L256">
        <v>0.5</v>
      </c>
      <c r="M256">
        <v>178.03</v>
      </c>
      <c r="N256">
        <v>25</v>
      </c>
      <c r="O256">
        <f>SUM($M256:N256)</f>
        <v>203.03</v>
      </c>
      <c r="P256" s="3">
        <f>IFERROR(Table1[[#This Row],[Total_Maintenance_Cost_USD]]/Table1[[#This Row],[Labour_Hours]],0)</f>
        <v>406.06</v>
      </c>
    </row>
    <row r="257" spans="1:16">
      <c r="A257" t="s">
        <v>311</v>
      </c>
      <c r="B257" s="8">
        <v>45951</v>
      </c>
      <c r="C257" t="s">
        <v>72</v>
      </c>
      <c r="D257" t="s">
        <v>44</v>
      </c>
      <c r="E257" t="s">
        <v>24</v>
      </c>
      <c r="F257" t="s">
        <v>62</v>
      </c>
      <c r="G257" t="s">
        <v>20</v>
      </c>
      <c r="H257" t="s">
        <v>34</v>
      </c>
      <c r="I257">
        <v>1</v>
      </c>
      <c r="J257">
        <v>2.04</v>
      </c>
      <c r="K257">
        <v>1.1000000000000001</v>
      </c>
      <c r="L257">
        <v>1.36</v>
      </c>
      <c r="M257">
        <v>1084.3499999999999</v>
      </c>
      <c r="N257">
        <v>68</v>
      </c>
      <c r="O257">
        <f>SUM($M257:N257)</f>
        <v>1152.3499999999999</v>
      </c>
      <c r="P257" s="3">
        <f>IFERROR(Table1[[#This Row],[Total_Maintenance_Cost_USD]]/Table1[[#This Row],[Labour_Hours]],0)</f>
        <v>847.31617647058806</v>
      </c>
    </row>
    <row r="258" spans="1:16">
      <c r="A258" t="s">
        <v>312</v>
      </c>
      <c r="B258" s="8">
        <v>45952</v>
      </c>
      <c r="C258" t="s">
        <v>72</v>
      </c>
      <c r="D258" t="s">
        <v>28</v>
      </c>
      <c r="E258" t="s">
        <v>29</v>
      </c>
      <c r="F258" t="s">
        <v>38</v>
      </c>
      <c r="G258" t="s">
        <v>20</v>
      </c>
      <c r="H258" t="s">
        <v>55</v>
      </c>
      <c r="I258">
        <v>0</v>
      </c>
      <c r="J258">
        <v>1.27</v>
      </c>
      <c r="K258">
        <v>1.72</v>
      </c>
      <c r="L258">
        <v>1.65</v>
      </c>
      <c r="M258">
        <v>255.66</v>
      </c>
      <c r="N258">
        <v>74.25</v>
      </c>
      <c r="O258">
        <f>SUM($M258:N258)</f>
        <v>329.90999999999997</v>
      </c>
      <c r="P258" s="3">
        <f>IFERROR(Table1[[#This Row],[Total_Maintenance_Cost_USD]]/Table1[[#This Row],[Labour_Hours]],0)</f>
        <v>199.94545454545454</v>
      </c>
    </row>
    <row r="259" spans="1:16">
      <c r="A259" t="s">
        <v>313</v>
      </c>
      <c r="B259" s="8">
        <v>45953</v>
      </c>
      <c r="C259" t="s">
        <v>36</v>
      </c>
      <c r="D259" t="s">
        <v>17</v>
      </c>
      <c r="E259" t="s">
        <v>86</v>
      </c>
      <c r="F259" t="s">
        <v>62</v>
      </c>
      <c r="G259" t="s">
        <v>63</v>
      </c>
      <c r="H259" t="s">
        <v>69</v>
      </c>
      <c r="I259">
        <v>1</v>
      </c>
      <c r="J259">
        <v>8.8800000000000008</v>
      </c>
      <c r="K259">
        <v>2.73</v>
      </c>
      <c r="L259">
        <v>3.62</v>
      </c>
      <c r="M259">
        <v>1447.77</v>
      </c>
      <c r="N259">
        <v>162.9</v>
      </c>
      <c r="O259">
        <f>SUM($M259:N259)</f>
        <v>1610.67</v>
      </c>
      <c r="P259" s="3">
        <f>IFERROR(Table1[[#This Row],[Total_Maintenance_Cost_USD]]/Table1[[#This Row],[Labour_Hours]],0)</f>
        <v>444.93646408839777</v>
      </c>
    </row>
    <row r="260" spans="1:16">
      <c r="A260" t="s">
        <v>314</v>
      </c>
      <c r="B260" s="8">
        <v>45955</v>
      </c>
      <c r="C260" t="s">
        <v>41</v>
      </c>
      <c r="D260" t="s">
        <v>44</v>
      </c>
      <c r="E260" t="s">
        <v>47</v>
      </c>
      <c r="F260" t="s">
        <v>30</v>
      </c>
      <c r="G260" t="s">
        <v>20</v>
      </c>
      <c r="H260" t="s">
        <v>55</v>
      </c>
      <c r="I260">
        <v>1</v>
      </c>
      <c r="J260">
        <v>2.91</v>
      </c>
      <c r="K260">
        <v>3.98</v>
      </c>
      <c r="L260">
        <v>4.84</v>
      </c>
      <c r="M260">
        <v>513.77</v>
      </c>
      <c r="N260">
        <v>242</v>
      </c>
      <c r="O260">
        <f>SUM($M260:N260)</f>
        <v>755.77</v>
      </c>
      <c r="P260" s="3">
        <f>IFERROR(Table1[[#This Row],[Total_Maintenance_Cost_USD]]/Table1[[#This Row],[Labour_Hours]],0)</f>
        <v>156.150826446281</v>
      </c>
    </row>
    <row r="261" spans="1:16">
      <c r="A261" t="s">
        <v>315</v>
      </c>
      <c r="B261" s="8">
        <v>45957</v>
      </c>
      <c r="C261" t="s">
        <v>27</v>
      </c>
      <c r="D261" t="s">
        <v>17</v>
      </c>
      <c r="E261" t="s">
        <v>24</v>
      </c>
      <c r="F261" t="s">
        <v>62</v>
      </c>
      <c r="G261" t="s">
        <v>20</v>
      </c>
      <c r="H261" t="s">
        <v>45</v>
      </c>
      <c r="I261">
        <v>1</v>
      </c>
      <c r="J261">
        <v>3.06</v>
      </c>
      <c r="K261">
        <v>8.24</v>
      </c>
      <c r="L261">
        <v>8.48</v>
      </c>
      <c r="M261">
        <v>1650.07</v>
      </c>
      <c r="N261">
        <v>339.2</v>
      </c>
      <c r="O261">
        <f>SUM($M261:N261)</f>
        <v>1989.27</v>
      </c>
      <c r="P261" s="3">
        <f>IFERROR(Table1[[#This Row],[Total_Maintenance_Cost_USD]]/Table1[[#This Row],[Labour_Hours]],0)</f>
        <v>234.58372641509433</v>
      </c>
    </row>
    <row r="262" spans="1:16">
      <c r="A262" t="s">
        <v>316</v>
      </c>
      <c r="B262" s="8">
        <v>45958</v>
      </c>
      <c r="C262" t="s">
        <v>36</v>
      </c>
      <c r="D262" t="s">
        <v>44</v>
      </c>
      <c r="E262" t="s">
        <v>47</v>
      </c>
      <c r="F262" t="s">
        <v>30</v>
      </c>
      <c r="G262" t="s">
        <v>57</v>
      </c>
      <c r="H262" t="s">
        <v>55</v>
      </c>
      <c r="I262">
        <v>1</v>
      </c>
      <c r="J262">
        <v>4.41</v>
      </c>
      <c r="K262">
        <v>0.42</v>
      </c>
      <c r="L262">
        <v>0.5</v>
      </c>
      <c r="M262">
        <v>796.55</v>
      </c>
      <c r="N262">
        <v>25</v>
      </c>
      <c r="O262">
        <f>SUM($M262:N262)</f>
        <v>821.55</v>
      </c>
      <c r="P262" s="3">
        <f>IFERROR(Table1[[#This Row],[Total_Maintenance_Cost_USD]]/Table1[[#This Row],[Labour_Hours]],0)</f>
        <v>1643.1</v>
      </c>
    </row>
    <row r="263" spans="1:16">
      <c r="A263" t="s">
        <v>317</v>
      </c>
      <c r="B263" s="8">
        <v>45960</v>
      </c>
      <c r="C263" t="s">
        <v>32</v>
      </c>
      <c r="D263" t="s">
        <v>28</v>
      </c>
      <c r="E263" t="s">
        <v>37</v>
      </c>
      <c r="F263" t="s">
        <v>38</v>
      </c>
      <c r="G263" t="s">
        <v>63</v>
      </c>
      <c r="H263" t="s">
        <v>69</v>
      </c>
      <c r="I263">
        <v>0</v>
      </c>
      <c r="J263">
        <v>0</v>
      </c>
      <c r="K263">
        <v>1.1499999999999999</v>
      </c>
      <c r="L263">
        <v>1.4</v>
      </c>
      <c r="M263">
        <v>197.18</v>
      </c>
      <c r="N263">
        <v>63</v>
      </c>
      <c r="O263">
        <f>SUM($M263:N263)</f>
        <v>260.18</v>
      </c>
      <c r="P263" s="3">
        <f>IFERROR(Table1[[#This Row],[Total_Maintenance_Cost_USD]]/Table1[[#This Row],[Labour_Hours]],0)</f>
        <v>185.84285714285716</v>
      </c>
    </row>
    <row r="264" spans="1:16">
      <c r="A264" t="s">
        <v>318</v>
      </c>
      <c r="B264" s="8">
        <v>45961</v>
      </c>
      <c r="C264" t="s">
        <v>53</v>
      </c>
      <c r="D264" t="s">
        <v>28</v>
      </c>
      <c r="E264" t="s">
        <v>33</v>
      </c>
      <c r="F264" t="s">
        <v>38</v>
      </c>
      <c r="G264" t="s">
        <v>20</v>
      </c>
      <c r="H264" t="s">
        <v>21</v>
      </c>
      <c r="I264">
        <v>0</v>
      </c>
      <c r="J264">
        <v>0.6</v>
      </c>
      <c r="K264">
        <v>0.83</v>
      </c>
      <c r="L264">
        <v>0.97</v>
      </c>
      <c r="M264">
        <v>291.32</v>
      </c>
      <c r="N264">
        <v>38.799999999999997</v>
      </c>
      <c r="O264">
        <f>SUM($M264:N264)</f>
        <v>330.12</v>
      </c>
      <c r="P264" s="3">
        <f>IFERROR(Table1[[#This Row],[Total_Maintenance_Cost_USD]]/Table1[[#This Row],[Labour_Hours]],0)</f>
        <v>340.32989690721649</v>
      </c>
    </row>
    <row r="265" spans="1:16">
      <c r="A265" t="s">
        <v>319</v>
      </c>
      <c r="B265" s="8">
        <v>45961</v>
      </c>
      <c r="C265" t="s">
        <v>23</v>
      </c>
      <c r="D265" t="s">
        <v>44</v>
      </c>
      <c r="E265" t="s">
        <v>18</v>
      </c>
      <c r="F265" t="s">
        <v>62</v>
      </c>
      <c r="G265" t="s">
        <v>20</v>
      </c>
      <c r="H265" t="s">
        <v>69</v>
      </c>
      <c r="I265">
        <v>1</v>
      </c>
      <c r="J265">
        <v>6.29</v>
      </c>
      <c r="K265">
        <v>1.07</v>
      </c>
      <c r="L265">
        <v>1.35</v>
      </c>
      <c r="M265">
        <v>744.37</v>
      </c>
      <c r="N265">
        <v>60.75</v>
      </c>
      <c r="O265">
        <f>SUM($M265:N265)</f>
        <v>805.12</v>
      </c>
      <c r="P265" s="3">
        <f>IFERROR(Table1[[#This Row],[Total_Maintenance_Cost_USD]]/Table1[[#This Row],[Labour_Hours]],0)</f>
        <v>596.38518518518515</v>
      </c>
    </row>
    <row r="266" spans="1:16">
      <c r="A266" t="s">
        <v>320</v>
      </c>
      <c r="B266" s="8">
        <v>45961</v>
      </c>
      <c r="C266" t="s">
        <v>61</v>
      </c>
      <c r="D266" t="s">
        <v>17</v>
      </c>
      <c r="E266" t="s">
        <v>86</v>
      </c>
      <c r="F266" t="s">
        <v>62</v>
      </c>
      <c r="G266" t="s">
        <v>63</v>
      </c>
      <c r="H266" t="s">
        <v>34</v>
      </c>
      <c r="I266">
        <v>1</v>
      </c>
      <c r="J266">
        <v>10.66</v>
      </c>
      <c r="K266">
        <v>13.38</v>
      </c>
      <c r="L266">
        <v>14.74</v>
      </c>
      <c r="M266">
        <v>1638.52</v>
      </c>
      <c r="N266">
        <v>663.3</v>
      </c>
      <c r="O266">
        <f>SUM($M266:N266)</f>
        <v>2301.8199999999997</v>
      </c>
      <c r="P266" s="3">
        <f>IFERROR(Table1[[#This Row],[Total_Maintenance_Cost_USD]]/Table1[[#This Row],[Labour_Hours]],0)</f>
        <v>156.16146540027134</v>
      </c>
    </row>
    <row r="267" spans="1:16">
      <c r="A267" t="s">
        <v>321</v>
      </c>
      <c r="B267" s="8">
        <v>45964</v>
      </c>
      <c r="C267" t="s">
        <v>41</v>
      </c>
      <c r="D267" t="s">
        <v>28</v>
      </c>
      <c r="E267" t="s">
        <v>29</v>
      </c>
      <c r="F267" t="s">
        <v>38</v>
      </c>
      <c r="G267" t="s">
        <v>20</v>
      </c>
      <c r="H267" t="s">
        <v>25</v>
      </c>
      <c r="I267">
        <v>0</v>
      </c>
      <c r="J267">
        <v>1.26</v>
      </c>
      <c r="K267">
        <v>2.08</v>
      </c>
      <c r="L267">
        <v>2.0499999999999998</v>
      </c>
      <c r="M267">
        <v>119.58</v>
      </c>
      <c r="N267">
        <v>71.75</v>
      </c>
      <c r="O267">
        <f>SUM($M267:N267)</f>
        <v>191.32999999999998</v>
      </c>
      <c r="P267" s="3">
        <f>IFERROR(Table1[[#This Row],[Total_Maintenance_Cost_USD]]/Table1[[#This Row],[Labour_Hours]],0)</f>
        <v>93.331707317073167</v>
      </c>
    </row>
    <row r="268" spans="1:16">
      <c r="A268" t="s">
        <v>322</v>
      </c>
      <c r="B268" s="8">
        <v>45965</v>
      </c>
      <c r="C268" t="s">
        <v>16</v>
      </c>
      <c r="D268" t="s">
        <v>17</v>
      </c>
      <c r="E268" t="s">
        <v>68</v>
      </c>
      <c r="F268" t="s">
        <v>62</v>
      </c>
      <c r="G268" t="s">
        <v>20</v>
      </c>
      <c r="H268" t="s">
        <v>21</v>
      </c>
      <c r="I268">
        <v>1</v>
      </c>
      <c r="J268">
        <v>6.87</v>
      </c>
      <c r="K268">
        <v>8.81</v>
      </c>
      <c r="L268">
        <v>9.42</v>
      </c>
      <c r="M268">
        <v>1448.19</v>
      </c>
      <c r="N268">
        <v>376.8</v>
      </c>
      <c r="O268">
        <f>SUM($M268:N268)</f>
        <v>1824.99</v>
      </c>
      <c r="P268" s="3">
        <f>IFERROR(Table1[[#This Row],[Total_Maintenance_Cost_USD]]/Table1[[#This Row],[Labour_Hours]],0)</f>
        <v>193.73566878980893</v>
      </c>
    </row>
    <row r="269" spans="1:16">
      <c r="A269" t="s">
        <v>323</v>
      </c>
      <c r="B269" s="8">
        <v>45968</v>
      </c>
      <c r="C269" t="s">
        <v>36</v>
      </c>
      <c r="D269" t="s">
        <v>28</v>
      </c>
      <c r="E269" t="s">
        <v>37</v>
      </c>
      <c r="F269" t="s">
        <v>30</v>
      </c>
      <c r="G269" t="s">
        <v>57</v>
      </c>
      <c r="H269" t="s">
        <v>25</v>
      </c>
      <c r="I269">
        <v>0</v>
      </c>
      <c r="J269">
        <v>0.3</v>
      </c>
      <c r="K269">
        <v>1.48</v>
      </c>
      <c r="L269">
        <v>1.69</v>
      </c>
      <c r="M269">
        <v>235.33</v>
      </c>
      <c r="N269">
        <v>67.599999999999994</v>
      </c>
      <c r="O269">
        <f>SUM($M269:N269)</f>
        <v>302.93</v>
      </c>
      <c r="P269" s="3">
        <f>IFERROR(Table1[[#This Row],[Total_Maintenance_Cost_USD]]/Table1[[#This Row],[Labour_Hours]],0)</f>
        <v>179.24852071005918</v>
      </c>
    </row>
    <row r="270" spans="1:16">
      <c r="A270" t="s">
        <v>324</v>
      </c>
      <c r="B270" s="8">
        <v>45969</v>
      </c>
      <c r="C270" t="s">
        <v>65</v>
      </c>
      <c r="D270" t="s">
        <v>28</v>
      </c>
      <c r="E270" t="s">
        <v>33</v>
      </c>
      <c r="F270" t="s">
        <v>30</v>
      </c>
      <c r="G270" t="s">
        <v>20</v>
      </c>
      <c r="H270" t="s">
        <v>39</v>
      </c>
      <c r="I270">
        <v>0</v>
      </c>
      <c r="J270">
        <v>7.0000000000000007E-2</v>
      </c>
      <c r="K270">
        <v>0.65</v>
      </c>
      <c r="L270">
        <v>0.85</v>
      </c>
      <c r="M270">
        <v>103.5</v>
      </c>
      <c r="N270">
        <v>38.25</v>
      </c>
      <c r="O270">
        <f>SUM($M270:N270)</f>
        <v>141.75</v>
      </c>
      <c r="P270" s="3">
        <f>IFERROR(Table1[[#This Row],[Total_Maintenance_Cost_USD]]/Table1[[#This Row],[Labour_Hours]],0)</f>
        <v>166.76470588235296</v>
      </c>
    </row>
    <row r="271" spans="1:16">
      <c r="A271" t="s">
        <v>325</v>
      </c>
      <c r="B271" s="8">
        <v>45970</v>
      </c>
      <c r="C271" t="s">
        <v>36</v>
      </c>
      <c r="D271" t="s">
        <v>28</v>
      </c>
      <c r="E271" t="s">
        <v>42</v>
      </c>
      <c r="F271" t="s">
        <v>38</v>
      </c>
      <c r="G271" t="s">
        <v>20</v>
      </c>
      <c r="H271" t="s">
        <v>34</v>
      </c>
      <c r="I271">
        <v>0</v>
      </c>
      <c r="J271">
        <v>0.46</v>
      </c>
      <c r="K271">
        <v>1.52</v>
      </c>
      <c r="L271">
        <v>1.65</v>
      </c>
      <c r="M271">
        <v>131.4</v>
      </c>
      <c r="N271">
        <v>74.25</v>
      </c>
      <c r="O271">
        <f>SUM($M271:N271)</f>
        <v>205.65</v>
      </c>
      <c r="P271" s="3">
        <f>IFERROR(Table1[[#This Row],[Total_Maintenance_Cost_USD]]/Table1[[#This Row],[Labour_Hours]],0)</f>
        <v>124.63636363636364</v>
      </c>
    </row>
    <row r="272" spans="1:16">
      <c r="A272" t="s">
        <v>326</v>
      </c>
      <c r="B272" s="8">
        <v>45970</v>
      </c>
      <c r="C272" t="s">
        <v>53</v>
      </c>
      <c r="D272" t="s">
        <v>17</v>
      </c>
      <c r="E272" t="s">
        <v>86</v>
      </c>
      <c r="F272" t="s">
        <v>62</v>
      </c>
      <c r="G272" t="s">
        <v>20</v>
      </c>
      <c r="H272" t="s">
        <v>39</v>
      </c>
      <c r="I272">
        <v>1</v>
      </c>
      <c r="J272">
        <v>2.59</v>
      </c>
      <c r="K272">
        <v>1.61</v>
      </c>
      <c r="L272">
        <v>1.95</v>
      </c>
      <c r="M272">
        <v>953.47</v>
      </c>
      <c r="N272">
        <v>78</v>
      </c>
      <c r="O272">
        <f>SUM($M272:N272)</f>
        <v>1031.47</v>
      </c>
      <c r="P272" s="3">
        <f>IFERROR(Table1[[#This Row],[Total_Maintenance_Cost_USD]]/Table1[[#This Row],[Labour_Hours]],0)</f>
        <v>528.95897435897439</v>
      </c>
    </row>
    <row r="273" spans="1:16">
      <c r="A273" t="s">
        <v>327</v>
      </c>
      <c r="B273" s="8">
        <v>45970</v>
      </c>
      <c r="C273" t="s">
        <v>27</v>
      </c>
      <c r="D273" t="s">
        <v>28</v>
      </c>
      <c r="E273" t="s">
        <v>29</v>
      </c>
      <c r="F273" t="s">
        <v>38</v>
      </c>
      <c r="G273" t="s">
        <v>20</v>
      </c>
      <c r="H273" t="s">
        <v>21</v>
      </c>
      <c r="I273">
        <v>0</v>
      </c>
      <c r="J273">
        <v>1.08</v>
      </c>
      <c r="K273">
        <v>0.78</v>
      </c>
      <c r="L273">
        <v>0.83</v>
      </c>
      <c r="M273">
        <v>158.37</v>
      </c>
      <c r="N273">
        <v>41.5</v>
      </c>
      <c r="O273">
        <f>SUM($M273:N273)</f>
        <v>199.87</v>
      </c>
      <c r="P273" s="3">
        <f>IFERROR(Table1[[#This Row],[Total_Maintenance_Cost_USD]]/Table1[[#This Row],[Labour_Hours]],0)</f>
        <v>240.80722891566268</v>
      </c>
    </row>
    <row r="274" spans="1:16">
      <c r="A274" t="s">
        <v>328</v>
      </c>
      <c r="B274" s="8">
        <v>45971</v>
      </c>
      <c r="C274" t="s">
        <v>41</v>
      </c>
      <c r="D274" t="s">
        <v>28</v>
      </c>
      <c r="E274" t="s">
        <v>37</v>
      </c>
      <c r="F274" t="s">
        <v>30</v>
      </c>
      <c r="G274" t="s">
        <v>20</v>
      </c>
      <c r="H274" t="s">
        <v>58</v>
      </c>
      <c r="I274">
        <v>0</v>
      </c>
      <c r="J274">
        <v>0.77</v>
      </c>
      <c r="K274">
        <v>1.02</v>
      </c>
      <c r="L274">
        <v>1.35</v>
      </c>
      <c r="M274">
        <v>183.95</v>
      </c>
      <c r="N274">
        <v>54</v>
      </c>
      <c r="O274">
        <f>SUM($M274:N274)</f>
        <v>237.95</v>
      </c>
      <c r="P274" s="3">
        <f>IFERROR(Table1[[#This Row],[Total_Maintenance_Cost_USD]]/Table1[[#This Row],[Labour_Hours]],0)</f>
        <v>176.25925925925924</v>
      </c>
    </row>
    <row r="275" spans="1:16">
      <c r="A275" t="s">
        <v>329</v>
      </c>
      <c r="B275" s="8">
        <v>45971</v>
      </c>
      <c r="C275" t="s">
        <v>53</v>
      </c>
      <c r="D275" t="s">
        <v>28</v>
      </c>
      <c r="E275" t="s">
        <v>37</v>
      </c>
      <c r="F275" t="s">
        <v>38</v>
      </c>
      <c r="G275" t="s">
        <v>20</v>
      </c>
      <c r="H275" t="s">
        <v>34</v>
      </c>
      <c r="I275">
        <v>0</v>
      </c>
      <c r="J275">
        <v>1.1299999999999999</v>
      </c>
      <c r="K275">
        <v>0.69</v>
      </c>
      <c r="L275">
        <v>0.88</v>
      </c>
      <c r="M275">
        <v>77.37</v>
      </c>
      <c r="N275">
        <v>44</v>
      </c>
      <c r="O275">
        <f>SUM($M275:N275)</f>
        <v>121.37</v>
      </c>
      <c r="P275" s="3">
        <f>IFERROR(Table1[[#This Row],[Total_Maintenance_Cost_USD]]/Table1[[#This Row],[Labour_Hours]],0)</f>
        <v>137.92045454545456</v>
      </c>
    </row>
    <row r="276" spans="1:16">
      <c r="A276" t="s">
        <v>330</v>
      </c>
      <c r="B276" s="8">
        <v>45982</v>
      </c>
      <c r="C276" t="s">
        <v>27</v>
      </c>
      <c r="D276" t="s">
        <v>28</v>
      </c>
      <c r="E276" t="s">
        <v>33</v>
      </c>
      <c r="F276" t="s">
        <v>38</v>
      </c>
      <c r="G276" t="s">
        <v>20</v>
      </c>
      <c r="H276" t="s">
        <v>58</v>
      </c>
      <c r="I276">
        <v>0</v>
      </c>
      <c r="J276">
        <v>0.71</v>
      </c>
      <c r="K276">
        <v>1.34</v>
      </c>
      <c r="L276">
        <v>1.08</v>
      </c>
      <c r="M276">
        <v>119.01</v>
      </c>
      <c r="N276">
        <v>54</v>
      </c>
      <c r="O276">
        <f>SUM($M276:N276)</f>
        <v>173.01</v>
      </c>
      <c r="P276" s="3">
        <f>IFERROR(Table1[[#This Row],[Total_Maintenance_Cost_USD]]/Table1[[#This Row],[Labour_Hours]],0)</f>
        <v>160.19444444444443</v>
      </c>
    </row>
    <row r="277" spans="1:16">
      <c r="A277" t="s">
        <v>331</v>
      </c>
      <c r="B277" s="8">
        <v>45983</v>
      </c>
      <c r="C277" t="s">
        <v>65</v>
      </c>
      <c r="D277" t="s">
        <v>44</v>
      </c>
      <c r="E277" t="s">
        <v>51</v>
      </c>
      <c r="F277" t="s">
        <v>30</v>
      </c>
      <c r="G277" t="s">
        <v>20</v>
      </c>
      <c r="H277" t="s">
        <v>58</v>
      </c>
      <c r="I277">
        <v>1</v>
      </c>
      <c r="J277">
        <v>2.81</v>
      </c>
      <c r="K277">
        <v>1.59</v>
      </c>
      <c r="L277">
        <v>1.34</v>
      </c>
      <c r="M277">
        <v>590.66</v>
      </c>
      <c r="N277">
        <v>60.3</v>
      </c>
      <c r="O277">
        <f>SUM($M277:N277)</f>
        <v>650.95999999999992</v>
      </c>
      <c r="P277" s="3">
        <f>IFERROR(Table1[[#This Row],[Total_Maintenance_Cost_USD]]/Table1[[#This Row],[Labour_Hours]],0)</f>
        <v>485.79104477611929</v>
      </c>
    </row>
    <row r="278" spans="1:16">
      <c r="A278" t="s">
        <v>332</v>
      </c>
      <c r="B278" s="8">
        <v>45985</v>
      </c>
      <c r="C278" t="s">
        <v>23</v>
      </c>
      <c r="D278" t="s">
        <v>28</v>
      </c>
      <c r="E278" t="s">
        <v>42</v>
      </c>
      <c r="F278" t="s">
        <v>30</v>
      </c>
      <c r="G278" t="s">
        <v>20</v>
      </c>
      <c r="H278" t="s">
        <v>45</v>
      </c>
      <c r="I278">
        <v>0</v>
      </c>
      <c r="J278">
        <v>0.99</v>
      </c>
      <c r="K278">
        <v>1.5</v>
      </c>
      <c r="L278">
        <v>2.02</v>
      </c>
      <c r="M278">
        <v>263.20999999999998</v>
      </c>
      <c r="N278">
        <v>70.7</v>
      </c>
      <c r="O278">
        <f>SUM($M278:N278)</f>
        <v>333.90999999999997</v>
      </c>
      <c r="P278" s="3">
        <f>IFERROR(Table1[[#This Row],[Total_Maintenance_Cost_USD]]/Table1[[#This Row],[Labour_Hours]],0)</f>
        <v>165.30198019801978</v>
      </c>
    </row>
    <row r="279" spans="1:16">
      <c r="A279" t="s">
        <v>333</v>
      </c>
      <c r="B279" s="8">
        <v>45986</v>
      </c>
      <c r="C279" t="s">
        <v>23</v>
      </c>
      <c r="D279" t="s">
        <v>44</v>
      </c>
      <c r="E279" t="s">
        <v>18</v>
      </c>
      <c r="F279" t="s">
        <v>30</v>
      </c>
      <c r="G279" t="s">
        <v>20</v>
      </c>
      <c r="H279" t="s">
        <v>39</v>
      </c>
      <c r="I279">
        <v>1</v>
      </c>
      <c r="J279">
        <v>2.91</v>
      </c>
      <c r="K279">
        <v>2.94</v>
      </c>
      <c r="L279">
        <v>2.68</v>
      </c>
      <c r="M279">
        <v>806.92</v>
      </c>
      <c r="N279">
        <v>93.8</v>
      </c>
      <c r="O279">
        <f>SUM($M279:N279)</f>
        <v>900.71999999999991</v>
      </c>
      <c r="P279" s="3">
        <f>IFERROR(Table1[[#This Row],[Total_Maintenance_Cost_USD]]/Table1[[#This Row],[Labour_Hours]],0)</f>
        <v>336.08955223880594</v>
      </c>
    </row>
    <row r="280" spans="1:16">
      <c r="A280" t="s">
        <v>334</v>
      </c>
      <c r="B280" s="8">
        <v>45987</v>
      </c>
      <c r="C280" t="s">
        <v>65</v>
      </c>
      <c r="D280" t="s">
        <v>28</v>
      </c>
      <c r="E280" t="s">
        <v>33</v>
      </c>
      <c r="F280" t="s">
        <v>30</v>
      </c>
      <c r="G280" t="s">
        <v>20</v>
      </c>
      <c r="H280" t="s">
        <v>21</v>
      </c>
      <c r="I280">
        <v>0</v>
      </c>
      <c r="J280">
        <v>0.52</v>
      </c>
      <c r="K280">
        <v>1.59</v>
      </c>
      <c r="L280">
        <v>1.57</v>
      </c>
      <c r="M280">
        <v>202.69</v>
      </c>
      <c r="N280">
        <v>62.8</v>
      </c>
      <c r="O280">
        <f>SUM($M280:N280)</f>
        <v>265.49</v>
      </c>
      <c r="P280" s="3">
        <f>IFERROR(Table1[[#This Row],[Total_Maintenance_Cost_USD]]/Table1[[#This Row],[Labour_Hours]],0)</f>
        <v>169.10191082802547</v>
      </c>
    </row>
    <row r="281" spans="1:16">
      <c r="A281" t="s">
        <v>335</v>
      </c>
      <c r="B281" s="8">
        <v>45988</v>
      </c>
      <c r="C281" t="s">
        <v>61</v>
      </c>
      <c r="D281" t="s">
        <v>28</v>
      </c>
      <c r="E281" t="s">
        <v>37</v>
      </c>
      <c r="F281" t="s">
        <v>30</v>
      </c>
      <c r="G281" t="s">
        <v>20</v>
      </c>
      <c r="H281" t="s">
        <v>25</v>
      </c>
      <c r="I281">
        <v>0</v>
      </c>
      <c r="J281">
        <v>0.84</v>
      </c>
      <c r="K281">
        <v>0.47</v>
      </c>
      <c r="L281">
        <v>0.53</v>
      </c>
      <c r="M281">
        <v>191.94</v>
      </c>
      <c r="N281">
        <v>18.55</v>
      </c>
      <c r="O281">
        <f>SUM($M281:N281)</f>
        <v>210.49</v>
      </c>
      <c r="P281" s="3">
        <f>IFERROR(Table1[[#This Row],[Total_Maintenance_Cost_USD]]/Table1[[#This Row],[Labour_Hours]],0)</f>
        <v>397.15094339622641</v>
      </c>
    </row>
    <row r="282" spans="1:16">
      <c r="A282" t="s">
        <v>336</v>
      </c>
      <c r="B282" s="8">
        <v>45989</v>
      </c>
      <c r="C282" t="s">
        <v>61</v>
      </c>
      <c r="D282" t="s">
        <v>17</v>
      </c>
      <c r="E282" t="s">
        <v>24</v>
      </c>
      <c r="F282" t="s">
        <v>62</v>
      </c>
      <c r="G282" t="s">
        <v>20</v>
      </c>
      <c r="H282" t="s">
        <v>55</v>
      </c>
      <c r="I282">
        <v>1</v>
      </c>
      <c r="J282">
        <v>0.76</v>
      </c>
      <c r="K282">
        <v>7.76</v>
      </c>
      <c r="L282">
        <v>9.34</v>
      </c>
      <c r="M282">
        <v>1357.43</v>
      </c>
      <c r="N282">
        <v>467</v>
      </c>
      <c r="O282">
        <f>SUM($M282:N282)</f>
        <v>1824.43</v>
      </c>
      <c r="P282" s="3">
        <f>IFERROR(Table1[[#This Row],[Total_Maintenance_Cost_USD]]/Table1[[#This Row],[Labour_Hours]],0)</f>
        <v>195.33511777301928</v>
      </c>
    </row>
    <row r="283" spans="1:16">
      <c r="A283" t="s">
        <v>337</v>
      </c>
      <c r="B283" s="8">
        <v>45992</v>
      </c>
      <c r="C283" t="s">
        <v>79</v>
      </c>
      <c r="D283" t="s">
        <v>17</v>
      </c>
      <c r="E283" t="s">
        <v>68</v>
      </c>
      <c r="F283" t="s">
        <v>62</v>
      </c>
      <c r="G283" t="s">
        <v>63</v>
      </c>
      <c r="H283" t="s">
        <v>21</v>
      </c>
      <c r="I283">
        <v>1</v>
      </c>
      <c r="J283">
        <v>1.72</v>
      </c>
      <c r="K283">
        <v>5.55</v>
      </c>
      <c r="L283">
        <v>5.16</v>
      </c>
      <c r="M283">
        <v>2030.5</v>
      </c>
      <c r="N283">
        <v>206.4</v>
      </c>
      <c r="O283">
        <f>SUM($M283:N283)</f>
        <v>2236.9</v>
      </c>
      <c r="P283" s="3">
        <f>IFERROR(Table1[[#This Row],[Total_Maintenance_Cost_USD]]/Table1[[#This Row],[Labour_Hours]],0)</f>
        <v>433.50775193798449</v>
      </c>
    </row>
    <row r="284" spans="1:16">
      <c r="A284" t="s">
        <v>338</v>
      </c>
      <c r="B284" s="8">
        <v>45994</v>
      </c>
      <c r="C284" t="s">
        <v>53</v>
      </c>
      <c r="D284" t="s">
        <v>28</v>
      </c>
      <c r="E284" t="s">
        <v>37</v>
      </c>
      <c r="F284" t="s">
        <v>38</v>
      </c>
      <c r="G284" t="s">
        <v>20</v>
      </c>
      <c r="H284" t="s">
        <v>45</v>
      </c>
      <c r="I284">
        <v>0</v>
      </c>
      <c r="J284">
        <v>0.55000000000000004</v>
      </c>
      <c r="K284">
        <v>1.18</v>
      </c>
      <c r="L284">
        <v>1.1100000000000001</v>
      </c>
      <c r="M284">
        <v>86.18</v>
      </c>
      <c r="N284">
        <v>49.95</v>
      </c>
      <c r="O284">
        <f>SUM($M284:N284)</f>
        <v>136.13</v>
      </c>
      <c r="P284" s="3">
        <f>IFERROR(Table1[[#This Row],[Total_Maintenance_Cost_USD]]/Table1[[#This Row],[Labour_Hours]],0)</f>
        <v>122.63963963963963</v>
      </c>
    </row>
    <row r="285" spans="1:16">
      <c r="A285" t="s">
        <v>339</v>
      </c>
      <c r="B285" s="8">
        <v>45995</v>
      </c>
      <c r="C285" t="s">
        <v>65</v>
      </c>
      <c r="D285" t="s">
        <v>17</v>
      </c>
      <c r="E285" t="s">
        <v>18</v>
      </c>
      <c r="F285" t="s">
        <v>62</v>
      </c>
      <c r="G285" t="s">
        <v>20</v>
      </c>
      <c r="H285" t="s">
        <v>39</v>
      </c>
      <c r="I285">
        <v>1</v>
      </c>
      <c r="J285">
        <v>11.21</v>
      </c>
      <c r="K285">
        <v>8.57</v>
      </c>
      <c r="L285">
        <v>11.11</v>
      </c>
      <c r="M285">
        <v>1779.25</v>
      </c>
      <c r="N285">
        <v>444.4</v>
      </c>
      <c r="O285">
        <f>SUM($M285:N285)</f>
        <v>2223.65</v>
      </c>
      <c r="P285" s="3">
        <f>IFERROR(Table1[[#This Row],[Total_Maintenance_Cost_USD]]/Table1[[#This Row],[Labour_Hours]],0)</f>
        <v>200.14851485148517</v>
      </c>
    </row>
    <row r="286" spans="1:16">
      <c r="A286" t="s">
        <v>340</v>
      </c>
      <c r="B286" s="8">
        <v>45996</v>
      </c>
      <c r="C286" t="s">
        <v>36</v>
      </c>
      <c r="D286" t="s">
        <v>28</v>
      </c>
      <c r="E286" t="s">
        <v>42</v>
      </c>
      <c r="F286" t="s">
        <v>38</v>
      </c>
      <c r="G286" t="s">
        <v>63</v>
      </c>
      <c r="H286" t="s">
        <v>34</v>
      </c>
      <c r="I286">
        <v>0</v>
      </c>
      <c r="J286">
        <v>0.27</v>
      </c>
      <c r="K286">
        <v>1.1499999999999999</v>
      </c>
      <c r="L286">
        <v>1.4</v>
      </c>
      <c r="M286">
        <v>98.66</v>
      </c>
      <c r="N286">
        <v>49</v>
      </c>
      <c r="O286">
        <f>SUM($M286:N286)</f>
        <v>147.66</v>
      </c>
      <c r="P286" s="3">
        <f>IFERROR(Table1[[#This Row],[Total_Maintenance_Cost_USD]]/Table1[[#This Row],[Labour_Hours]],0)</f>
        <v>105.47142857142858</v>
      </c>
    </row>
    <row r="287" spans="1:16">
      <c r="A287" t="s">
        <v>341</v>
      </c>
      <c r="B287" s="8">
        <v>46000</v>
      </c>
      <c r="C287" t="s">
        <v>27</v>
      </c>
      <c r="D287" t="s">
        <v>17</v>
      </c>
      <c r="E287" t="s">
        <v>24</v>
      </c>
      <c r="F287" t="s">
        <v>62</v>
      </c>
      <c r="G287" t="s">
        <v>20</v>
      </c>
      <c r="H287" t="s">
        <v>21</v>
      </c>
      <c r="I287">
        <v>1</v>
      </c>
      <c r="J287">
        <v>11.02</v>
      </c>
      <c r="K287">
        <v>5.81</v>
      </c>
      <c r="L287">
        <v>6.19</v>
      </c>
      <c r="M287">
        <v>1552.03</v>
      </c>
      <c r="N287">
        <v>247.6</v>
      </c>
      <c r="O287">
        <f>SUM($M287:N287)</f>
        <v>1799.6299999999999</v>
      </c>
      <c r="P287" s="3">
        <f>IFERROR(Table1[[#This Row],[Total_Maintenance_Cost_USD]]/Table1[[#This Row],[Labour_Hours]],0)</f>
        <v>290.73182552504034</v>
      </c>
    </row>
    <row r="288" spans="1:16">
      <c r="A288" t="s">
        <v>342</v>
      </c>
      <c r="B288" s="8">
        <v>46000</v>
      </c>
      <c r="C288" t="s">
        <v>16</v>
      </c>
      <c r="D288" t="s">
        <v>44</v>
      </c>
      <c r="E288" t="s">
        <v>86</v>
      </c>
      <c r="F288" t="s">
        <v>62</v>
      </c>
      <c r="G288" t="s">
        <v>20</v>
      </c>
      <c r="H288" t="s">
        <v>34</v>
      </c>
      <c r="I288">
        <v>1</v>
      </c>
      <c r="J288">
        <v>5.01</v>
      </c>
      <c r="K288">
        <v>1.65</v>
      </c>
      <c r="L288">
        <v>1.59</v>
      </c>
      <c r="M288">
        <v>542.25</v>
      </c>
      <c r="N288">
        <v>63.6</v>
      </c>
      <c r="O288">
        <f>SUM($M288:N288)</f>
        <v>605.85</v>
      </c>
      <c r="P288" s="3">
        <f>IFERROR(Table1[[#This Row],[Total_Maintenance_Cost_USD]]/Table1[[#This Row],[Labour_Hours]],0)</f>
        <v>381.03773584905662</v>
      </c>
    </row>
    <row r="289" spans="1:16">
      <c r="A289" t="s">
        <v>343</v>
      </c>
      <c r="B289" s="8">
        <v>46001</v>
      </c>
      <c r="C289" t="s">
        <v>61</v>
      </c>
      <c r="D289" t="s">
        <v>44</v>
      </c>
      <c r="E289" t="s">
        <v>18</v>
      </c>
      <c r="F289" t="s">
        <v>30</v>
      </c>
      <c r="G289" t="s">
        <v>20</v>
      </c>
      <c r="H289" t="s">
        <v>25</v>
      </c>
      <c r="I289">
        <v>1</v>
      </c>
      <c r="J289">
        <v>4.5199999999999996</v>
      </c>
      <c r="K289">
        <v>4.55</v>
      </c>
      <c r="L289">
        <v>5.45</v>
      </c>
      <c r="M289">
        <v>794.6</v>
      </c>
      <c r="N289">
        <v>218</v>
      </c>
      <c r="O289">
        <f>SUM($M289:N289)</f>
        <v>1012.6</v>
      </c>
      <c r="P289" s="3">
        <f>IFERROR(Table1[[#This Row],[Total_Maintenance_Cost_USD]]/Table1[[#This Row],[Labour_Hours]],0)</f>
        <v>185.79816513761469</v>
      </c>
    </row>
    <row r="290" spans="1:16">
      <c r="A290" t="s">
        <v>344</v>
      </c>
      <c r="B290" s="8">
        <v>46006</v>
      </c>
      <c r="C290" t="s">
        <v>27</v>
      </c>
      <c r="D290" t="s">
        <v>17</v>
      </c>
      <c r="E290" t="s">
        <v>47</v>
      </c>
      <c r="F290" t="s">
        <v>62</v>
      </c>
      <c r="G290" t="s">
        <v>20</v>
      </c>
      <c r="H290" t="s">
        <v>34</v>
      </c>
      <c r="I290">
        <v>1</v>
      </c>
      <c r="J290">
        <v>0.76</v>
      </c>
      <c r="K290">
        <v>6.86</v>
      </c>
      <c r="L290">
        <v>5.58</v>
      </c>
      <c r="M290">
        <v>1249.1099999999999</v>
      </c>
      <c r="N290">
        <v>251.1</v>
      </c>
      <c r="O290">
        <f>SUM($M290:N290)</f>
        <v>1500.2099999999998</v>
      </c>
      <c r="P290" s="3">
        <f>IFERROR(Table1[[#This Row],[Total_Maintenance_Cost_USD]]/Table1[[#This Row],[Labour_Hours]],0)</f>
        <v>268.85483870967738</v>
      </c>
    </row>
    <row r="291" spans="1:16">
      <c r="A291" t="s">
        <v>345</v>
      </c>
      <c r="B291" s="8">
        <v>46007</v>
      </c>
      <c r="C291" t="s">
        <v>32</v>
      </c>
      <c r="D291" t="s">
        <v>17</v>
      </c>
      <c r="E291" t="s">
        <v>18</v>
      </c>
      <c r="F291" t="s">
        <v>62</v>
      </c>
      <c r="G291" t="s">
        <v>20</v>
      </c>
      <c r="H291" t="s">
        <v>39</v>
      </c>
      <c r="I291">
        <v>2</v>
      </c>
      <c r="J291">
        <v>8.68</v>
      </c>
      <c r="K291">
        <v>6.04</v>
      </c>
      <c r="L291">
        <v>6.09</v>
      </c>
      <c r="M291">
        <v>1492.37</v>
      </c>
      <c r="N291">
        <v>243.6</v>
      </c>
      <c r="O291">
        <f>SUM($M291:N291)</f>
        <v>1735.9699999999998</v>
      </c>
      <c r="P291" s="3">
        <f>IFERROR(Table1[[#This Row],[Total_Maintenance_Cost_USD]]/Table1[[#This Row],[Labour_Hours]],0)</f>
        <v>285.05254515599341</v>
      </c>
    </row>
    <row r="292" spans="1:16">
      <c r="A292" t="s">
        <v>346</v>
      </c>
      <c r="B292" s="8">
        <v>46008</v>
      </c>
      <c r="C292" t="s">
        <v>27</v>
      </c>
      <c r="D292" t="s">
        <v>44</v>
      </c>
      <c r="E292" t="s">
        <v>86</v>
      </c>
      <c r="F292" t="s">
        <v>30</v>
      </c>
      <c r="G292" t="s">
        <v>20</v>
      </c>
      <c r="H292" t="s">
        <v>45</v>
      </c>
      <c r="I292">
        <v>1</v>
      </c>
      <c r="J292">
        <v>1.88</v>
      </c>
      <c r="K292">
        <v>2.41</v>
      </c>
      <c r="L292">
        <v>2.29</v>
      </c>
      <c r="M292">
        <v>546.52</v>
      </c>
      <c r="N292">
        <v>103.05</v>
      </c>
      <c r="O292">
        <f>SUM($M292:N292)</f>
        <v>649.56999999999994</v>
      </c>
      <c r="P292" s="3">
        <f>IFERROR(Table1[[#This Row],[Total_Maintenance_Cost_USD]]/Table1[[#This Row],[Labour_Hours]],0)</f>
        <v>283.65502183406113</v>
      </c>
    </row>
    <row r="293" spans="1:16">
      <c r="A293" t="s">
        <v>347</v>
      </c>
      <c r="B293" s="8">
        <v>46009</v>
      </c>
      <c r="C293" t="s">
        <v>32</v>
      </c>
      <c r="D293" t="s">
        <v>28</v>
      </c>
      <c r="E293" t="s">
        <v>29</v>
      </c>
      <c r="F293" t="s">
        <v>30</v>
      </c>
      <c r="G293" t="s">
        <v>63</v>
      </c>
      <c r="H293" t="s">
        <v>69</v>
      </c>
      <c r="I293">
        <v>0</v>
      </c>
      <c r="J293">
        <v>0</v>
      </c>
      <c r="K293">
        <v>1.25</v>
      </c>
      <c r="L293">
        <v>1.41</v>
      </c>
      <c r="M293">
        <v>193.9</v>
      </c>
      <c r="N293">
        <v>56.4</v>
      </c>
      <c r="O293">
        <f>SUM($M293:N293)</f>
        <v>250.3</v>
      </c>
      <c r="P293" s="3">
        <f>IFERROR(Table1[[#This Row],[Total_Maintenance_Cost_USD]]/Table1[[#This Row],[Labour_Hours]],0)</f>
        <v>177.51773049645391</v>
      </c>
    </row>
    <row r="294" spans="1:16">
      <c r="A294" t="s">
        <v>348</v>
      </c>
      <c r="B294" s="8">
        <v>46011</v>
      </c>
      <c r="C294" t="s">
        <v>72</v>
      </c>
      <c r="D294" t="s">
        <v>28</v>
      </c>
      <c r="E294" t="s">
        <v>37</v>
      </c>
      <c r="F294" t="s">
        <v>30</v>
      </c>
      <c r="G294" t="s">
        <v>20</v>
      </c>
      <c r="H294" t="s">
        <v>69</v>
      </c>
      <c r="I294">
        <v>0</v>
      </c>
      <c r="J294">
        <v>0.14000000000000001</v>
      </c>
      <c r="K294">
        <v>0.61</v>
      </c>
      <c r="L294">
        <v>0.55000000000000004</v>
      </c>
      <c r="M294">
        <v>195.21</v>
      </c>
      <c r="N294">
        <v>22</v>
      </c>
      <c r="O294">
        <f>SUM($M294:N294)</f>
        <v>217.21</v>
      </c>
      <c r="P294" s="3">
        <f>IFERROR(Table1[[#This Row],[Total_Maintenance_Cost_USD]]/Table1[[#This Row],[Labour_Hours]],0)</f>
        <v>394.92727272727274</v>
      </c>
    </row>
    <row r="295" spans="1:16">
      <c r="A295" t="s">
        <v>349</v>
      </c>
      <c r="B295" s="8">
        <v>46011</v>
      </c>
      <c r="C295" t="s">
        <v>72</v>
      </c>
      <c r="D295" t="s">
        <v>28</v>
      </c>
      <c r="E295" t="s">
        <v>42</v>
      </c>
      <c r="F295" t="s">
        <v>30</v>
      </c>
      <c r="G295" t="s">
        <v>57</v>
      </c>
      <c r="H295" t="s">
        <v>58</v>
      </c>
      <c r="I295">
        <v>0</v>
      </c>
      <c r="J295">
        <v>0.39</v>
      </c>
      <c r="K295">
        <v>0.46</v>
      </c>
      <c r="L295">
        <v>0.59</v>
      </c>
      <c r="M295">
        <v>183.1</v>
      </c>
      <c r="N295">
        <v>26.55</v>
      </c>
      <c r="O295">
        <f>SUM($M295:N295)</f>
        <v>209.65</v>
      </c>
      <c r="P295" s="3">
        <f>IFERROR(Table1[[#This Row],[Total_Maintenance_Cost_USD]]/Table1[[#This Row],[Labour_Hours]],0)</f>
        <v>355.3389830508475</v>
      </c>
    </row>
    <row r="296" spans="1:16">
      <c r="A296" t="s">
        <v>350</v>
      </c>
      <c r="B296" s="8">
        <v>46012</v>
      </c>
      <c r="C296" t="s">
        <v>61</v>
      </c>
      <c r="D296" t="s">
        <v>44</v>
      </c>
      <c r="E296" t="s">
        <v>51</v>
      </c>
      <c r="F296" t="s">
        <v>30</v>
      </c>
      <c r="G296" t="s">
        <v>20</v>
      </c>
      <c r="H296" t="s">
        <v>21</v>
      </c>
      <c r="I296">
        <v>1</v>
      </c>
      <c r="J296">
        <v>3.52</v>
      </c>
      <c r="K296">
        <v>3.59</v>
      </c>
      <c r="L296">
        <v>4.6500000000000004</v>
      </c>
      <c r="M296">
        <v>605.91</v>
      </c>
      <c r="N296">
        <v>186</v>
      </c>
      <c r="O296">
        <f>SUM($M296:N296)</f>
        <v>791.91</v>
      </c>
      <c r="P296" s="3">
        <f>IFERROR(Table1[[#This Row],[Total_Maintenance_Cost_USD]]/Table1[[#This Row],[Labour_Hours]],0)</f>
        <v>170.30322580645159</v>
      </c>
    </row>
    <row r="297" spans="1:16">
      <c r="A297" t="s">
        <v>351</v>
      </c>
      <c r="B297" s="8">
        <v>46014</v>
      </c>
      <c r="C297" t="s">
        <v>65</v>
      </c>
      <c r="D297" t="s">
        <v>28</v>
      </c>
      <c r="E297" t="s">
        <v>37</v>
      </c>
      <c r="F297" t="s">
        <v>38</v>
      </c>
      <c r="G297" t="s">
        <v>20</v>
      </c>
      <c r="H297" t="s">
        <v>25</v>
      </c>
      <c r="I297">
        <v>0</v>
      </c>
      <c r="J297">
        <v>0.56999999999999995</v>
      </c>
      <c r="K297">
        <v>0.83</v>
      </c>
      <c r="L297">
        <v>0.68</v>
      </c>
      <c r="M297">
        <v>96.53</v>
      </c>
      <c r="N297">
        <v>30.6</v>
      </c>
      <c r="O297">
        <f>SUM($M297:N297)</f>
        <v>127.13</v>
      </c>
      <c r="P297" s="3">
        <f>IFERROR(Table1[[#This Row],[Total_Maintenance_Cost_USD]]/Table1[[#This Row],[Labour_Hours]],0)</f>
        <v>186.95588235294116</v>
      </c>
    </row>
    <row r="298" spans="1:16">
      <c r="A298" t="s">
        <v>352</v>
      </c>
      <c r="B298" s="8">
        <v>46016</v>
      </c>
      <c r="C298" t="s">
        <v>72</v>
      </c>
      <c r="D298" t="s">
        <v>17</v>
      </c>
      <c r="E298" t="s">
        <v>24</v>
      </c>
      <c r="F298" t="s">
        <v>62</v>
      </c>
      <c r="G298" t="s">
        <v>20</v>
      </c>
      <c r="H298" t="s">
        <v>25</v>
      </c>
      <c r="I298">
        <v>1</v>
      </c>
      <c r="J298">
        <v>5.67</v>
      </c>
      <c r="K298">
        <v>8.75</v>
      </c>
      <c r="L298">
        <v>10.88</v>
      </c>
      <c r="M298">
        <v>1701.55</v>
      </c>
      <c r="N298">
        <v>489.6</v>
      </c>
      <c r="O298">
        <f>SUM($M298:N298)</f>
        <v>2191.15</v>
      </c>
      <c r="P298" s="3">
        <f>IFERROR(Table1[[#This Row],[Total_Maintenance_Cost_USD]]/Table1[[#This Row],[Labour_Hours]],0)</f>
        <v>201.39246323529412</v>
      </c>
    </row>
    <row r="299" spans="1:16">
      <c r="A299" t="s">
        <v>353</v>
      </c>
      <c r="B299" s="8">
        <v>46019</v>
      </c>
      <c r="C299" t="s">
        <v>32</v>
      </c>
      <c r="D299" t="s">
        <v>44</v>
      </c>
      <c r="E299" t="s">
        <v>24</v>
      </c>
      <c r="F299" t="s">
        <v>30</v>
      </c>
      <c r="G299" t="s">
        <v>20</v>
      </c>
      <c r="H299" t="s">
        <v>55</v>
      </c>
      <c r="I299">
        <v>1</v>
      </c>
      <c r="J299">
        <v>1.1299999999999999</v>
      </c>
      <c r="K299">
        <v>7</v>
      </c>
      <c r="L299">
        <v>8.7899999999999991</v>
      </c>
      <c r="M299">
        <v>938.84</v>
      </c>
      <c r="N299">
        <v>395.55</v>
      </c>
      <c r="O299">
        <f>SUM($M299:N299)</f>
        <v>1334.39</v>
      </c>
      <c r="P299" s="3">
        <f>IFERROR(Table1[[#This Row],[Total_Maintenance_Cost_USD]]/Table1[[#This Row],[Labour_Hours]],0)</f>
        <v>151.80773606370877</v>
      </c>
    </row>
    <row r="300" spans="1:16">
      <c r="A300" t="s">
        <v>354</v>
      </c>
      <c r="B300" s="8">
        <v>46020</v>
      </c>
      <c r="C300" t="s">
        <v>72</v>
      </c>
      <c r="D300" t="s">
        <v>28</v>
      </c>
      <c r="E300" t="s">
        <v>37</v>
      </c>
      <c r="F300" t="s">
        <v>38</v>
      </c>
      <c r="G300" t="s">
        <v>20</v>
      </c>
      <c r="H300" t="s">
        <v>69</v>
      </c>
      <c r="I300">
        <v>0</v>
      </c>
      <c r="J300">
        <v>0.88</v>
      </c>
      <c r="K300">
        <v>0.37</v>
      </c>
      <c r="L300">
        <v>0.5</v>
      </c>
      <c r="M300">
        <v>137.81</v>
      </c>
      <c r="N300">
        <v>17.5</v>
      </c>
      <c r="O300">
        <f>SUM($M300:N300)</f>
        <v>155.31</v>
      </c>
      <c r="P300" s="3">
        <f>IFERROR(Table1[[#This Row],[Total_Maintenance_Cost_USD]]/Table1[[#This Row],[Labour_Hours]],0)</f>
        <v>310.62</v>
      </c>
    </row>
    <row r="301" spans="1:16">
      <c r="A301" t="s">
        <v>355</v>
      </c>
      <c r="B301" s="8">
        <v>46021</v>
      </c>
      <c r="C301" t="s">
        <v>49</v>
      </c>
      <c r="D301" t="s">
        <v>44</v>
      </c>
      <c r="E301" t="s">
        <v>68</v>
      </c>
      <c r="F301" t="s">
        <v>30</v>
      </c>
      <c r="G301" t="s">
        <v>20</v>
      </c>
      <c r="H301" t="s">
        <v>45</v>
      </c>
      <c r="I301">
        <v>1</v>
      </c>
      <c r="J301">
        <v>4.18</v>
      </c>
      <c r="K301">
        <v>0.59</v>
      </c>
      <c r="L301">
        <v>0.76</v>
      </c>
      <c r="M301">
        <v>785.82</v>
      </c>
      <c r="N301">
        <v>26.6</v>
      </c>
      <c r="O301">
        <f>SUM($M301:N301)</f>
        <v>812.42000000000007</v>
      </c>
      <c r="P301" s="3">
        <f>IFERROR(Table1[[#This Row],[Total_Maintenance_Cost_USD]]/Table1[[#This Row],[Labour_Hours]],0)</f>
        <v>1068.9736842105265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6EAC2-4367-4FC4-B0F0-0194525BA7BF}">
  <dimension ref="A2:R38"/>
  <sheetViews>
    <sheetView topLeftCell="B1" zoomScale="78" zoomScaleNormal="78" workbookViewId="0">
      <selection activeCell="R4" sqref="R4"/>
    </sheetView>
  </sheetViews>
  <sheetFormatPr defaultRowHeight="15"/>
  <cols>
    <col min="1" max="1" width="11.28515625" bestFit="1" customWidth="1"/>
    <col min="2" max="2" width="15.28515625" bestFit="1" customWidth="1"/>
    <col min="3" max="3" width="6" bestFit="1" customWidth="1"/>
    <col min="4" max="4" width="11" bestFit="1" customWidth="1"/>
    <col min="5" max="5" width="11.28515625" bestFit="1" customWidth="1"/>
    <col min="6" max="6" width="17.42578125" bestFit="1" customWidth="1"/>
    <col min="7" max="7" width="22.28515625" bestFit="1" customWidth="1"/>
    <col min="8" max="8" width="15.28515625" bestFit="1" customWidth="1"/>
    <col min="9" max="9" width="6" bestFit="1" customWidth="1"/>
    <col min="10" max="10" width="12.85546875" bestFit="1" customWidth="1"/>
    <col min="11" max="11" width="15.28515625" bestFit="1" customWidth="1"/>
    <col min="12" max="12" width="22.28515625" bestFit="1" customWidth="1"/>
    <col min="13" max="13" width="16.28515625" customWidth="1"/>
    <col min="14" max="14" width="11.28515625" bestFit="1" customWidth="1"/>
    <col min="15" max="15" width="15.28515625" bestFit="1" customWidth="1"/>
    <col min="16" max="16" width="13.28515625" customWidth="1"/>
    <col min="17" max="17" width="15.5703125" bestFit="1" customWidth="1"/>
    <col min="18" max="18" width="12.85546875" bestFit="1" customWidth="1"/>
    <col min="19" max="19" width="15.28515625" customWidth="1"/>
  </cols>
  <sheetData>
    <row r="2" spans="1:18">
      <c r="A2" s="24" t="s">
        <v>398</v>
      </c>
      <c r="B2" s="24"/>
      <c r="C2" s="24"/>
      <c r="D2" s="24"/>
      <c r="E2" s="24"/>
      <c r="F2" s="19"/>
      <c r="I2" s="24" t="s">
        <v>402</v>
      </c>
      <c r="J2" s="24"/>
      <c r="K2" s="24"/>
      <c r="L2" s="24"/>
      <c r="N2" s="24" t="s">
        <v>422</v>
      </c>
      <c r="O2" s="24"/>
      <c r="P2" s="24"/>
      <c r="Q2" s="24"/>
      <c r="R2" s="24"/>
    </row>
    <row r="3" spans="1:18">
      <c r="A3" t="s">
        <v>396</v>
      </c>
      <c r="B3" t="s">
        <v>424</v>
      </c>
      <c r="C3" t="s">
        <v>425</v>
      </c>
      <c r="D3" t="s">
        <v>428</v>
      </c>
      <c r="E3" t="s">
        <v>429</v>
      </c>
      <c r="F3" t="s">
        <v>395</v>
      </c>
      <c r="I3" s="18" t="s">
        <v>421</v>
      </c>
      <c r="J3" t="s">
        <v>396</v>
      </c>
      <c r="K3" t="s">
        <v>397</v>
      </c>
      <c r="L3" t="s">
        <v>390</v>
      </c>
      <c r="N3" s="18" t="s">
        <v>421</v>
      </c>
      <c r="O3" t="s">
        <v>396</v>
      </c>
      <c r="Q3" s="18" t="s">
        <v>420</v>
      </c>
      <c r="R3" t="s">
        <v>392</v>
      </c>
    </row>
    <row r="4" spans="1:18">
      <c r="A4" s="17">
        <v>300</v>
      </c>
      <c r="B4" s="30">
        <v>218948.23</v>
      </c>
      <c r="C4" s="20">
        <v>793.53</v>
      </c>
      <c r="D4" s="3">
        <v>5.8182467532467532</v>
      </c>
      <c r="E4" s="3">
        <v>677.44461038961038</v>
      </c>
      <c r="F4" s="22">
        <v>0.99245119863013698</v>
      </c>
      <c r="I4" s="4" t="s">
        <v>17</v>
      </c>
      <c r="J4" s="17">
        <v>53</v>
      </c>
      <c r="K4" s="30">
        <v>98971.83</v>
      </c>
      <c r="L4" s="20">
        <v>399.02</v>
      </c>
      <c r="N4" s="4" t="s">
        <v>17</v>
      </c>
      <c r="O4" s="17">
        <v>53</v>
      </c>
      <c r="Q4" s="4" t="s">
        <v>54</v>
      </c>
      <c r="R4" s="17">
        <v>17</v>
      </c>
    </row>
    <row r="5" spans="1:18">
      <c r="I5" s="4" t="s">
        <v>44</v>
      </c>
      <c r="J5" s="17">
        <v>95</v>
      </c>
      <c r="K5" s="30">
        <v>84196.21</v>
      </c>
      <c r="L5" s="20">
        <v>306.02999999999997</v>
      </c>
      <c r="N5" s="4" t="s">
        <v>44</v>
      </c>
      <c r="O5" s="17">
        <v>95</v>
      </c>
      <c r="Q5" s="4" t="s">
        <v>86</v>
      </c>
      <c r="R5" s="17">
        <v>18</v>
      </c>
    </row>
    <row r="6" spans="1:18">
      <c r="A6" s="24" t="s">
        <v>399</v>
      </c>
      <c r="B6" s="24"/>
      <c r="C6" s="24"/>
      <c r="D6" s="24"/>
      <c r="E6" s="24"/>
      <c r="I6" s="4" t="s">
        <v>28</v>
      </c>
      <c r="J6" s="17">
        <v>152</v>
      </c>
      <c r="K6" s="30">
        <v>35780.19</v>
      </c>
      <c r="L6" s="20">
        <v>88.48</v>
      </c>
      <c r="N6" s="4" t="s">
        <v>28</v>
      </c>
      <c r="O6" s="17">
        <v>152</v>
      </c>
      <c r="Q6" s="4" t="s">
        <v>68</v>
      </c>
      <c r="R6" s="17">
        <v>22</v>
      </c>
    </row>
    <row r="7" spans="1:18">
      <c r="A7" s="18" t="s">
        <v>419</v>
      </c>
      <c r="B7" t="s">
        <v>393</v>
      </c>
      <c r="C7" t="s">
        <v>394</v>
      </c>
      <c r="D7" t="s">
        <v>395</v>
      </c>
      <c r="E7" t="s">
        <v>392</v>
      </c>
      <c r="I7" s="4" t="s">
        <v>400</v>
      </c>
      <c r="J7" s="17">
        <v>300</v>
      </c>
      <c r="K7" s="30">
        <v>218948.23</v>
      </c>
      <c r="L7" s="20">
        <v>793.53</v>
      </c>
      <c r="N7" s="4" t="s">
        <v>400</v>
      </c>
      <c r="O7" s="17">
        <v>300</v>
      </c>
      <c r="Q7" s="4" t="s">
        <v>18</v>
      </c>
      <c r="R7" s="17">
        <v>24</v>
      </c>
    </row>
    <row r="8" spans="1:18">
      <c r="A8" s="4" t="s">
        <v>32</v>
      </c>
      <c r="B8" s="3">
        <v>579.10933333333332</v>
      </c>
      <c r="C8" s="3">
        <v>6.1740000000000004</v>
      </c>
      <c r="D8" s="22">
        <v>0.99162557077625568</v>
      </c>
      <c r="E8" s="17">
        <v>15</v>
      </c>
      <c r="Q8" s="4" t="s">
        <v>47</v>
      </c>
      <c r="R8" s="17">
        <v>24</v>
      </c>
    </row>
    <row r="9" spans="1:18">
      <c r="A9" s="4" t="s">
        <v>61</v>
      </c>
      <c r="B9" s="3">
        <v>412.5761904761905</v>
      </c>
      <c r="C9" s="3">
        <v>4.4776190476190481</v>
      </c>
      <c r="D9" s="22">
        <v>0.98905251141552519</v>
      </c>
      <c r="E9" s="17">
        <v>21</v>
      </c>
      <c r="I9" s="24" t="s">
        <v>403</v>
      </c>
      <c r="J9" s="24"/>
      <c r="K9" s="24"/>
      <c r="L9" s="24"/>
      <c r="N9" s="18" t="s">
        <v>419</v>
      </c>
      <c r="O9" t="s">
        <v>390</v>
      </c>
      <c r="Q9" s="4" t="s">
        <v>24</v>
      </c>
      <c r="R9" s="17">
        <v>24</v>
      </c>
    </row>
    <row r="10" spans="1:18">
      <c r="A10" s="4" t="s">
        <v>16</v>
      </c>
      <c r="B10" s="3">
        <v>374.43260869565222</v>
      </c>
      <c r="C10" s="3">
        <v>7.3321739130434773</v>
      </c>
      <c r="D10" s="22">
        <v>0.98309931506849324</v>
      </c>
      <c r="E10" s="17">
        <v>23</v>
      </c>
      <c r="I10" s="18" t="s">
        <v>420</v>
      </c>
      <c r="J10" t="s">
        <v>392</v>
      </c>
      <c r="K10" t="s">
        <v>390</v>
      </c>
      <c r="L10" t="s">
        <v>397</v>
      </c>
      <c r="N10" s="4" t="s">
        <v>16</v>
      </c>
      <c r="O10" s="20">
        <v>148.05000000000001</v>
      </c>
      <c r="Q10" s="4" t="s">
        <v>51</v>
      </c>
      <c r="R10" s="17">
        <v>25</v>
      </c>
    </row>
    <row r="11" spans="1:18">
      <c r="A11" s="4" t="s">
        <v>41</v>
      </c>
      <c r="B11" s="3">
        <v>541.13</v>
      </c>
      <c r="C11" s="3">
        <v>7.4081250000000001</v>
      </c>
      <c r="D11" s="22">
        <v>0.98836529680365293</v>
      </c>
      <c r="E11" s="17">
        <v>16</v>
      </c>
      <c r="I11" s="4" t="s">
        <v>51</v>
      </c>
      <c r="J11" s="17">
        <v>25</v>
      </c>
      <c r="K11" s="20">
        <v>142.19999999999999</v>
      </c>
      <c r="L11" s="30">
        <v>29357.45</v>
      </c>
      <c r="N11" s="4" t="s">
        <v>41</v>
      </c>
      <c r="O11" s="20">
        <v>101.92</v>
      </c>
      <c r="Q11" s="4" t="s">
        <v>400</v>
      </c>
      <c r="R11" s="17">
        <v>154</v>
      </c>
    </row>
    <row r="12" spans="1:18">
      <c r="A12" s="4" t="s">
        <v>49</v>
      </c>
      <c r="B12" s="3">
        <v>1247.3014285714287</v>
      </c>
      <c r="C12" s="3">
        <v>4.3771428571428572</v>
      </c>
      <c r="D12" s="22">
        <v>0.99670205479452056</v>
      </c>
      <c r="E12" s="17">
        <v>7</v>
      </c>
      <c r="I12" s="4" t="s">
        <v>29</v>
      </c>
      <c r="J12" s="17">
        <v>0</v>
      </c>
      <c r="K12" s="20">
        <v>20.170000000000002</v>
      </c>
      <c r="L12" s="30">
        <v>8530.0400000000009</v>
      </c>
      <c r="N12" s="4" t="s">
        <v>61</v>
      </c>
      <c r="O12" s="20">
        <v>95.9</v>
      </c>
    </row>
    <row r="13" spans="1:18">
      <c r="A13" s="4" t="s">
        <v>79</v>
      </c>
      <c r="B13" s="3">
        <v>872.65200000000004</v>
      </c>
      <c r="C13" s="3">
        <v>5.9270000000000005</v>
      </c>
      <c r="D13" s="22">
        <v>0.99617808219178083</v>
      </c>
      <c r="E13" s="17">
        <v>10</v>
      </c>
      <c r="I13" s="4" t="s">
        <v>24</v>
      </c>
      <c r="J13" s="17">
        <v>24</v>
      </c>
      <c r="K13" s="20">
        <v>100.35</v>
      </c>
      <c r="L13" s="30">
        <v>33129.18</v>
      </c>
      <c r="N13" s="4" t="s">
        <v>32</v>
      </c>
      <c r="O13" s="20">
        <v>73.36</v>
      </c>
    </row>
    <row r="14" spans="1:18">
      <c r="A14" s="4" t="s">
        <v>23</v>
      </c>
      <c r="B14" s="3">
        <v>1245.0128571428572</v>
      </c>
      <c r="C14" s="3">
        <v>5.1728571428571426</v>
      </c>
      <c r="D14" s="22">
        <v>0.99487328767123284</v>
      </c>
      <c r="E14" s="17">
        <v>7</v>
      </c>
      <c r="I14" s="4" t="s">
        <v>47</v>
      </c>
      <c r="J14" s="17">
        <v>24</v>
      </c>
      <c r="K14" s="20">
        <v>100.2</v>
      </c>
      <c r="L14" s="30">
        <v>25245.31</v>
      </c>
      <c r="N14" s="4" t="s">
        <v>72</v>
      </c>
      <c r="O14" s="20">
        <v>63.44</v>
      </c>
    </row>
    <row r="15" spans="1:18">
      <c r="A15" s="4" t="s">
        <v>53</v>
      </c>
      <c r="B15" s="3">
        <v>968.55555555555554</v>
      </c>
      <c r="C15" s="3">
        <v>5.9755555555555553</v>
      </c>
      <c r="D15" s="22">
        <v>0.99509132420091329</v>
      </c>
      <c r="E15" s="17">
        <v>9</v>
      </c>
      <c r="I15" s="4" t="s">
        <v>37</v>
      </c>
      <c r="J15" s="17">
        <v>0</v>
      </c>
      <c r="K15" s="20">
        <v>23.39</v>
      </c>
      <c r="L15" s="30">
        <v>9601.52</v>
      </c>
      <c r="N15" s="4" t="s">
        <v>65</v>
      </c>
      <c r="O15" s="20">
        <v>55.26</v>
      </c>
    </row>
    <row r="16" spans="1:18">
      <c r="A16" s="4" t="s">
        <v>27</v>
      </c>
      <c r="B16" s="3">
        <v>725.77</v>
      </c>
      <c r="C16" s="3">
        <v>5.626666666666666</v>
      </c>
      <c r="D16" s="22">
        <v>0.99420547945205473</v>
      </c>
      <c r="E16" s="17">
        <v>12</v>
      </c>
      <c r="I16" s="4" t="s">
        <v>18</v>
      </c>
      <c r="J16" s="17">
        <v>24</v>
      </c>
      <c r="K16" s="20">
        <v>110.32</v>
      </c>
      <c r="L16" s="30">
        <v>29732.47</v>
      </c>
      <c r="N16" s="4" t="s">
        <v>36</v>
      </c>
      <c r="O16" s="20">
        <v>54.56</v>
      </c>
    </row>
    <row r="17" spans="1:15">
      <c r="A17" s="4" t="s">
        <v>72</v>
      </c>
      <c r="B17" s="3">
        <v>621.18285714285707</v>
      </c>
      <c r="C17" s="3">
        <v>5.6321428571428571</v>
      </c>
      <c r="D17" s="22">
        <v>0.99275799086757988</v>
      </c>
      <c r="E17" s="17">
        <v>14</v>
      </c>
      <c r="I17" s="4" t="s">
        <v>33</v>
      </c>
      <c r="J17" s="17">
        <v>0</v>
      </c>
      <c r="K17" s="20">
        <v>22.4</v>
      </c>
      <c r="L17" s="30">
        <v>9021.64</v>
      </c>
      <c r="N17" s="4" t="s">
        <v>27</v>
      </c>
      <c r="O17" s="20">
        <v>50.76</v>
      </c>
    </row>
    <row r="18" spans="1:15">
      <c r="A18" s="4" t="s">
        <v>65</v>
      </c>
      <c r="B18" s="3">
        <v>967.19333333333327</v>
      </c>
      <c r="C18" s="3">
        <v>6.0377777777777784</v>
      </c>
      <c r="D18" s="22">
        <v>0.99369178082191778</v>
      </c>
      <c r="E18" s="17">
        <v>9</v>
      </c>
      <c r="I18" s="4" t="s">
        <v>86</v>
      </c>
      <c r="J18" s="17">
        <v>18</v>
      </c>
      <c r="K18" s="20">
        <v>70.150000000000006</v>
      </c>
      <c r="L18" s="30">
        <v>17384.490000000002</v>
      </c>
      <c r="N18" s="4" t="s">
        <v>23</v>
      </c>
      <c r="O18" s="20">
        <v>44.91</v>
      </c>
    </row>
    <row r="19" spans="1:15">
      <c r="A19" s="4" t="s">
        <v>36</v>
      </c>
      <c r="B19" s="3">
        <v>791.40363636363645</v>
      </c>
      <c r="C19" s="3">
        <v>3.7809090909090912</v>
      </c>
      <c r="D19" s="22">
        <v>0.99377168949771699</v>
      </c>
      <c r="E19" s="17">
        <v>11</v>
      </c>
      <c r="I19" s="4" t="s">
        <v>54</v>
      </c>
      <c r="J19" s="17">
        <v>17</v>
      </c>
      <c r="K19" s="20">
        <v>72.88</v>
      </c>
      <c r="L19" s="30">
        <v>18810.61</v>
      </c>
      <c r="N19" s="4" t="s">
        <v>53</v>
      </c>
      <c r="O19" s="20">
        <v>43</v>
      </c>
    </row>
    <row r="20" spans="1:15">
      <c r="A20" s="4" t="s">
        <v>400</v>
      </c>
      <c r="B20" s="3">
        <v>677.44461038961038</v>
      </c>
      <c r="C20" s="3">
        <v>5.8182467532467532</v>
      </c>
      <c r="D20" s="22">
        <v>0.99245119863013698</v>
      </c>
      <c r="E20" s="17">
        <v>154</v>
      </c>
      <c r="I20" s="4" t="s">
        <v>42</v>
      </c>
      <c r="J20" s="17">
        <v>0</v>
      </c>
      <c r="K20" s="20">
        <v>22.52</v>
      </c>
      <c r="L20" s="30">
        <v>8626.99</v>
      </c>
      <c r="N20" s="4" t="s">
        <v>79</v>
      </c>
      <c r="O20" s="20">
        <v>33.479999999999997</v>
      </c>
    </row>
    <row r="21" spans="1:15">
      <c r="A21" s="4"/>
      <c r="I21" s="4" t="s">
        <v>68</v>
      </c>
      <c r="J21" s="17">
        <v>22</v>
      </c>
      <c r="K21" s="20">
        <v>108.95</v>
      </c>
      <c r="L21" s="30">
        <v>29508.53</v>
      </c>
      <c r="N21" s="4" t="s">
        <v>49</v>
      </c>
      <c r="O21" s="20">
        <v>28.89</v>
      </c>
    </row>
    <row r="22" spans="1:15">
      <c r="A22" s="24" t="s">
        <v>401</v>
      </c>
      <c r="B22" s="24"/>
      <c r="I22" s="4" t="s">
        <v>400</v>
      </c>
      <c r="J22" s="17">
        <v>154</v>
      </c>
      <c r="K22" s="20">
        <v>793.53</v>
      </c>
      <c r="L22" s="30">
        <v>218948.23</v>
      </c>
      <c r="N22" s="4" t="s">
        <v>400</v>
      </c>
      <c r="O22" s="20">
        <v>793.53</v>
      </c>
    </row>
    <row r="23" spans="1:15">
      <c r="A23" s="18" t="s">
        <v>419</v>
      </c>
      <c r="B23" t="s">
        <v>390</v>
      </c>
    </row>
    <row r="24" spans="1:15">
      <c r="A24" s="4" t="s">
        <v>32</v>
      </c>
      <c r="B24" s="20">
        <v>73.36</v>
      </c>
      <c r="E24" s="24" t="s">
        <v>404</v>
      </c>
      <c r="F24" s="24"/>
      <c r="G24" s="24"/>
      <c r="H24" s="24"/>
      <c r="I24" s="24"/>
      <c r="K24" s="24" t="s">
        <v>417</v>
      </c>
      <c r="L24" s="24"/>
    </row>
    <row r="25" spans="1:15">
      <c r="A25" s="4" t="s">
        <v>61</v>
      </c>
      <c r="B25" s="20">
        <v>95.9</v>
      </c>
      <c r="E25" s="18" t="s">
        <v>418</v>
      </c>
      <c r="F25" t="s">
        <v>396</v>
      </c>
      <c r="G25" t="s">
        <v>397</v>
      </c>
      <c r="H25" t="s">
        <v>390</v>
      </c>
      <c r="I25" t="s">
        <v>394</v>
      </c>
      <c r="K25" s="18" t="s">
        <v>419</v>
      </c>
      <c r="L25" t="s">
        <v>397</v>
      </c>
    </row>
    <row r="26" spans="1:15">
      <c r="A26" s="4" t="s">
        <v>16</v>
      </c>
      <c r="B26" s="20">
        <v>148.05000000000001</v>
      </c>
      <c r="E26" s="4" t="s">
        <v>405</v>
      </c>
      <c r="F26" s="17">
        <v>19</v>
      </c>
      <c r="G26" s="30">
        <v>16320.76</v>
      </c>
      <c r="H26" s="20">
        <v>50.87</v>
      </c>
      <c r="I26" s="3">
        <v>5.9063636363636363</v>
      </c>
      <c r="K26" s="4" t="s">
        <v>49</v>
      </c>
      <c r="L26" s="30">
        <v>8793.09</v>
      </c>
    </row>
    <row r="27" spans="1:15">
      <c r="A27" s="4" t="s">
        <v>41</v>
      </c>
      <c r="B27" s="20">
        <v>101.92</v>
      </c>
      <c r="E27" s="4" t="s">
        <v>406</v>
      </c>
      <c r="F27" s="17">
        <v>28</v>
      </c>
      <c r="G27" s="30">
        <v>24648.84</v>
      </c>
      <c r="H27" s="20">
        <v>107.33</v>
      </c>
      <c r="I27" s="3">
        <v>6.0411764705882351</v>
      </c>
      <c r="K27" s="4" t="s">
        <v>65</v>
      </c>
      <c r="L27" s="30">
        <v>13442.85</v>
      </c>
    </row>
    <row r="28" spans="1:15">
      <c r="A28" s="4" t="s">
        <v>49</v>
      </c>
      <c r="B28" s="20">
        <v>28.89</v>
      </c>
      <c r="E28" s="4" t="s">
        <v>407</v>
      </c>
      <c r="F28" s="17">
        <v>21</v>
      </c>
      <c r="G28" s="30">
        <v>14392.58</v>
      </c>
      <c r="H28" s="20">
        <v>51.33</v>
      </c>
      <c r="I28" s="3">
        <v>4.7608333333333333</v>
      </c>
      <c r="K28" s="4" t="s">
        <v>23</v>
      </c>
      <c r="L28" s="30">
        <v>13769.33</v>
      </c>
    </row>
    <row r="29" spans="1:15">
      <c r="A29" s="4" t="s">
        <v>79</v>
      </c>
      <c r="B29" s="20">
        <v>33.479999999999997</v>
      </c>
      <c r="E29" s="4" t="s">
        <v>408</v>
      </c>
      <c r="F29" s="17">
        <v>22</v>
      </c>
      <c r="G29" s="30">
        <v>14224.81</v>
      </c>
      <c r="H29" s="20">
        <v>48.21</v>
      </c>
      <c r="I29" s="3">
        <v>4.2838461538461541</v>
      </c>
      <c r="K29" s="4" t="s">
        <v>36</v>
      </c>
      <c r="L29" s="30">
        <v>14898.42</v>
      </c>
    </row>
    <row r="30" spans="1:15">
      <c r="A30" s="4" t="s">
        <v>23</v>
      </c>
      <c r="B30" s="20">
        <v>44.91</v>
      </c>
      <c r="E30" s="4" t="s">
        <v>409</v>
      </c>
      <c r="F30" s="17">
        <v>22</v>
      </c>
      <c r="G30" s="30">
        <v>15321.56</v>
      </c>
      <c r="H30" s="20">
        <v>45.02</v>
      </c>
      <c r="I30" s="3">
        <v>7.734</v>
      </c>
      <c r="K30" s="4" t="s">
        <v>79</v>
      </c>
      <c r="L30" s="30">
        <v>15251.23</v>
      </c>
    </row>
    <row r="31" spans="1:15">
      <c r="A31" s="4" t="s">
        <v>53</v>
      </c>
      <c r="B31" s="20">
        <v>43</v>
      </c>
      <c r="E31" s="4" t="s">
        <v>410</v>
      </c>
      <c r="F31" s="17">
        <v>41</v>
      </c>
      <c r="G31" s="30">
        <v>25100.2</v>
      </c>
      <c r="H31" s="20">
        <v>86.89</v>
      </c>
      <c r="I31" s="3">
        <v>6.3224999999999998</v>
      </c>
      <c r="K31" s="4" t="s">
        <v>53</v>
      </c>
      <c r="L31" s="30">
        <v>15322.01</v>
      </c>
    </row>
    <row r="32" spans="1:15">
      <c r="A32" s="4" t="s">
        <v>27</v>
      </c>
      <c r="B32" s="20">
        <v>50.76</v>
      </c>
      <c r="E32" s="4" t="s">
        <v>411</v>
      </c>
      <c r="F32" s="17">
        <v>26</v>
      </c>
      <c r="G32" s="30">
        <v>18388.830000000002</v>
      </c>
      <c r="H32" s="20">
        <v>63.49</v>
      </c>
      <c r="I32" s="3">
        <v>6.24</v>
      </c>
      <c r="K32" s="4" t="s">
        <v>27</v>
      </c>
      <c r="L32" s="30">
        <v>15514.54</v>
      </c>
    </row>
    <row r="33" spans="1:12">
      <c r="A33" s="4" t="s">
        <v>72</v>
      </c>
      <c r="B33" s="20">
        <v>63.44</v>
      </c>
      <c r="E33" s="4" t="s">
        <v>412</v>
      </c>
      <c r="F33" s="17">
        <v>23</v>
      </c>
      <c r="G33" s="30">
        <v>13377.06</v>
      </c>
      <c r="H33" s="20">
        <v>55.11</v>
      </c>
      <c r="I33" s="3">
        <v>4.5236363636363635</v>
      </c>
      <c r="K33" s="4" t="s">
        <v>72</v>
      </c>
      <c r="L33" s="30">
        <v>20255.939999999999</v>
      </c>
    </row>
    <row r="34" spans="1:12">
      <c r="A34" s="4" t="s">
        <v>65</v>
      </c>
      <c r="B34" s="20">
        <v>55.26</v>
      </c>
      <c r="E34" s="4" t="s">
        <v>413</v>
      </c>
      <c r="F34" s="17">
        <v>27</v>
      </c>
      <c r="G34" s="30">
        <v>21230.92</v>
      </c>
      <c r="H34" s="20">
        <v>82.16</v>
      </c>
      <c r="I34" s="3">
        <v>6.71</v>
      </c>
      <c r="K34" s="4" t="s">
        <v>32</v>
      </c>
      <c r="L34" s="30">
        <v>20324.400000000001</v>
      </c>
    </row>
    <row r="35" spans="1:12">
      <c r="A35" s="4" t="s">
        <v>36</v>
      </c>
      <c r="B35" s="20">
        <v>54.56</v>
      </c>
      <c r="E35" s="4" t="s">
        <v>414</v>
      </c>
      <c r="F35" s="17">
        <v>36</v>
      </c>
      <c r="G35" s="30">
        <v>29188.71</v>
      </c>
      <c r="H35" s="20">
        <v>116.95</v>
      </c>
      <c r="I35" s="3">
        <v>5.8164999999999996</v>
      </c>
      <c r="K35" s="4" t="s">
        <v>41</v>
      </c>
      <c r="L35" s="30">
        <v>23909.98</v>
      </c>
    </row>
    <row r="36" spans="1:12">
      <c r="A36" s="4" t="s">
        <v>400</v>
      </c>
      <c r="B36" s="20">
        <v>793.53</v>
      </c>
      <c r="E36" s="4" t="s">
        <v>415</v>
      </c>
      <c r="F36" s="17">
        <v>16</v>
      </c>
      <c r="G36" s="30">
        <v>8616.32</v>
      </c>
      <c r="H36" s="20">
        <v>24.07</v>
      </c>
      <c r="I36" s="3">
        <v>7.1659999999999995</v>
      </c>
      <c r="K36" s="4" t="s">
        <v>61</v>
      </c>
      <c r="L36" s="30">
        <v>26243.52</v>
      </c>
    </row>
    <row r="37" spans="1:12">
      <c r="E37" s="4" t="s">
        <v>416</v>
      </c>
      <c r="F37" s="17">
        <v>19</v>
      </c>
      <c r="G37" s="30">
        <v>18137.64</v>
      </c>
      <c r="H37" s="20">
        <v>62.1</v>
      </c>
      <c r="I37" s="3">
        <v>5.1707692307692303</v>
      </c>
      <c r="K37" s="4" t="s">
        <v>16</v>
      </c>
      <c r="L37" s="30">
        <v>31222.92</v>
      </c>
    </row>
    <row r="38" spans="1:12">
      <c r="E38" s="4" t="s">
        <v>400</v>
      </c>
      <c r="F38" s="17">
        <v>300</v>
      </c>
      <c r="G38" s="30">
        <v>218948.23</v>
      </c>
      <c r="H38" s="20">
        <v>793.53</v>
      </c>
      <c r="I38" s="3">
        <v>5.8182467532467532</v>
      </c>
      <c r="K38" s="4" t="s">
        <v>400</v>
      </c>
      <c r="L38" s="30">
        <v>218948.23</v>
      </c>
    </row>
  </sheetData>
  <mergeCells count="8">
    <mergeCell ref="N2:R2"/>
    <mergeCell ref="K24:L24"/>
    <mergeCell ref="E24:I24"/>
    <mergeCell ref="A6:E6"/>
    <mergeCell ref="A2:E2"/>
    <mergeCell ref="A22:B22"/>
    <mergeCell ref="I2:L2"/>
    <mergeCell ref="I9:L9"/>
  </mergeCells>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DDC6-018E-489F-B877-12AE7D47B21C}">
  <dimension ref="C1:U34"/>
  <sheetViews>
    <sheetView showGridLines="0" tabSelected="1" zoomScale="96" zoomScaleNormal="96" workbookViewId="0">
      <selection activeCell="T25" sqref="T25"/>
    </sheetView>
  </sheetViews>
  <sheetFormatPr defaultRowHeight="15"/>
  <cols>
    <col min="1" max="1" width="7" customWidth="1"/>
    <col min="2" max="2" width="3.42578125" customWidth="1"/>
    <col min="4" max="4" width="10.5703125" customWidth="1"/>
    <col min="5" max="5" width="11.85546875" customWidth="1"/>
    <col min="6" max="6" width="7.42578125" customWidth="1"/>
    <col min="7" max="7" width="5.28515625" customWidth="1"/>
    <col min="8" max="8" width="9.42578125" customWidth="1"/>
    <col min="9" max="9" width="11.28515625" customWidth="1"/>
    <col min="10" max="10" width="8.140625" customWidth="1"/>
    <col min="11" max="11" width="9" customWidth="1"/>
    <col min="12" max="12" width="12.28515625" bestFit="1" customWidth="1"/>
    <col min="13" max="13" width="7.7109375" bestFit="1" customWidth="1"/>
    <col min="14" max="14" width="5.5703125" bestFit="1" customWidth="1"/>
    <col min="15" max="15" width="9.85546875" bestFit="1" customWidth="1"/>
    <col min="16" max="16" width="11.7109375" bestFit="1" customWidth="1"/>
    <col min="17" max="17" width="8.42578125" bestFit="1" customWidth="1"/>
    <col min="21" max="21" width="5.85546875" customWidth="1"/>
  </cols>
  <sheetData>
    <row r="1" spans="3:21" ht="18.75" customHeight="1">
      <c r="C1" s="23" t="s">
        <v>430</v>
      </c>
      <c r="D1" s="23"/>
      <c r="E1" s="23"/>
      <c r="F1" s="23"/>
      <c r="G1" s="23"/>
      <c r="H1" s="23"/>
      <c r="I1" s="23"/>
      <c r="J1" s="23"/>
      <c r="K1" s="23"/>
      <c r="L1" s="23"/>
      <c r="M1" s="23"/>
      <c r="N1" s="23"/>
      <c r="O1" s="23"/>
      <c r="P1" s="23"/>
      <c r="Q1" s="23"/>
      <c r="R1" s="23"/>
      <c r="S1" s="23"/>
      <c r="T1" s="23"/>
      <c r="U1" s="23"/>
    </row>
    <row r="2" spans="3:21">
      <c r="C2" s="21"/>
      <c r="D2" s="21"/>
      <c r="E2" s="21"/>
      <c r="F2" s="21"/>
      <c r="G2" s="21"/>
      <c r="H2" s="21"/>
      <c r="I2" s="21"/>
      <c r="J2" s="21"/>
      <c r="K2" s="21"/>
      <c r="L2" s="21"/>
      <c r="M2" s="21"/>
      <c r="N2" s="21"/>
      <c r="O2" s="21"/>
      <c r="P2" s="21"/>
      <c r="Q2" s="21"/>
      <c r="R2" s="21"/>
      <c r="S2" s="21"/>
      <c r="T2" s="21"/>
      <c r="U2" s="21"/>
    </row>
    <row r="3" spans="3:21">
      <c r="C3" s="21"/>
      <c r="D3" s="21"/>
      <c r="E3" s="21"/>
      <c r="F3" s="21"/>
      <c r="G3" s="21"/>
      <c r="H3" s="21"/>
      <c r="I3" s="21"/>
      <c r="J3" s="21"/>
      <c r="K3" s="21"/>
      <c r="L3" s="21"/>
      <c r="M3" s="21"/>
      <c r="N3" s="21"/>
      <c r="O3" s="21"/>
      <c r="P3" s="21"/>
      <c r="Q3" s="21"/>
      <c r="R3" s="21"/>
      <c r="S3" s="21"/>
      <c r="T3" s="21"/>
      <c r="U3" s="21"/>
    </row>
    <row r="4" spans="3:21">
      <c r="C4" s="21"/>
      <c r="D4" s="21"/>
      <c r="E4" s="21"/>
      <c r="F4" s="21"/>
      <c r="G4" s="21"/>
      <c r="H4" s="21"/>
      <c r="I4" s="21"/>
      <c r="J4" s="21"/>
      <c r="K4" s="21"/>
      <c r="L4" s="21"/>
      <c r="M4" s="21"/>
      <c r="N4" s="21"/>
      <c r="O4" s="21"/>
      <c r="P4" s="21"/>
      <c r="Q4" s="21"/>
      <c r="R4" s="21"/>
      <c r="S4" s="21"/>
      <c r="T4" s="21"/>
      <c r="U4" s="21"/>
    </row>
    <row r="5" spans="3:21">
      <c r="C5" s="21"/>
      <c r="D5" s="21"/>
      <c r="E5" s="21"/>
      <c r="F5" s="21"/>
      <c r="G5" s="21"/>
      <c r="H5" s="21"/>
      <c r="I5" s="21"/>
      <c r="J5" s="21"/>
      <c r="K5" s="21"/>
      <c r="L5" s="21"/>
      <c r="M5" s="21"/>
      <c r="N5" s="21"/>
      <c r="O5" s="21"/>
      <c r="P5" s="21"/>
      <c r="Q5" s="21"/>
      <c r="R5" s="21"/>
      <c r="S5" s="21"/>
      <c r="T5" s="21"/>
      <c r="U5" s="21"/>
    </row>
    <row r="6" spans="3:21">
      <c r="C6" s="21"/>
      <c r="D6" s="21"/>
      <c r="E6" s="21"/>
      <c r="F6" s="21"/>
      <c r="G6" s="21"/>
      <c r="H6" s="21"/>
      <c r="I6" s="21"/>
      <c r="J6" s="21"/>
      <c r="K6" s="21"/>
      <c r="L6" s="21"/>
      <c r="M6" s="21"/>
      <c r="N6" s="21"/>
      <c r="O6" s="21"/>
      <c r="P6" s="21"/>
      <c r="Q6" s="21"/>
      <c r="R6" s="21"/>
      <c r="S6" s="21"/>
      <c r="T6" s="21"/>
      <c r="U6" s="21"/>
    </row>
    <row r="7" spans="3:21">
      <c r="C7" s="21"/>
      <c r="D7" s="21"/>
      <c r="E7" s="21"/>
      <c r="F7" s="21"/>
      <c r="G7" s="21"/>
      <c r="H7" s="21"/>
      <c r="I7" s="21"/>
      <c r="J7" s="21"/>
      <c r="K7" s="21"/>
      <c r="L7" s="21"/>
      <c r="M7" s="21"/>
      <c r="N7" s="21"/>
      <c r="O7" s="21"/>
      <c r="P7" s="21"/>
      <c r="Q7" s="21"/>
      <c r="R7" s="21"/>
      <c r="S7" s="21"/>
      <c r="T7" s="21"/>
      <c r="U7" s="21"/>
    </row>
    <row r="8" spans="3:21">
      <c r="C8" s="21"/>
      <c r="D8" s="21"/>
      <c r="E8" s="21"/>
      <c r="F8" s="21"/>
      <c r="G8" s="21"/>
      <c r="H8" s="21"/>
      <c r="I8" s="21"/>
      <c r="J8" s="21"/>
      <c r="K8" s="21"/>
      <c r="L8" s="21"/>
      <c r="M8" s="21"/>
      <c r="N8" s="21"/>
      <c r="O8" s="21"/>
      <c r="P8" s="21"/>
      <c r="Q8" s="21"/>
      <c r="R8" s="21"/>
      <c r="S8" s="21"/>
      <c r="T8" s="21"/>
      <c r="U8" s="21"/>
    </row>
    <row r="9" spans="3:21">
      <c r="C9" s="21"/>
      <c r="D9" s="21"/>
      <c r="E9" s="21"/>
      <c r="F9" s="21"/>
      <c r="G9" s="21"/>
      <c r="H9" s="21"/>
      <c r="I9" s="21"/>
      <c r="J9" s="21"/>
      <c r="K9" s="21"/>
      <c r="L9" s="21"/>
      <c r="M9" s="21"/>
      <c r="N9" s="21"/>
      <c r="O9" s="21"/>
      <c r="P9" s="21"/>
      <c r="Q9" s="21"/>
      <c r="R9" s="21"/>
      <c r="S9" s="21"/>
      <c r="T9" s="21"/>
      <c r="U9" s="21"/>
    </row>
    <row r="10" spans="3:21">
      <c r="C10" s="21"/>
      <c r="D10" s="21"/>
      <c r="E10" s="21"/>
      <c r="F10" s="21"/>
      <c r="G10" s="21"/>
      <c r="H10" s="21"/>
      <c r="I10" s="21"/>
      <c r="J10" s="21"/>
      <c r="K10" s="21"/>
      <c r="L10" s="21"/>
      <c r="M10" s="21"/>
      <c r="N10" s="21"/>
      <c r="O10" s="21"/>
      <c r="P10" s="21"/>
      <c r="Q10" s="21"/>
      <c r="R10" s="21"/>
      <c r="S10" s="21"/>
      <c r="T10" s="21"/>
      <c r="U10" s="21"/>
    </row>
    <row r="11" spans="3:21">
      <c r="C11" s="21"/>
      <c r="D11" s="21"/>
      <c r="E11" s="21"/>
      <c r="F11" s="21"/>
      <c r="G11" s="21"/>
      <c r="H11" s="21"/>
      <c r="I11" s="21"/>
      <c r="J11" s="21"/>
      <c r="K11" s="21"/>
      <c r="L11" s="21"/>
      <c r="M11" s="21"/>
      <c r="N11" s="21"/>
      <c r="O11" s="21"/>
      <c r="P11" s="21"/>
      <c r="Q11" s="21"/>
      <c r="R11" s="21"/>
      <c r="S11" s="21"/>
      <c r="T11" s="21"/>
      <c r="U11" s="21"/>
    </row>
    <row r="12" spans="3:21">
      <c r="C12" s="21"/>
      <c r="D12" s="21"/>
      <c r="E12" s="21"/>
      <c r="F12" s="21"/>
      <c r="G12" s="21"/>
      <c r="H12" s="21"/>
      <c r="I12" s="21"/>
      <c r="J12" s="21"/>
      <c r="K12" s="21"/>
      <c r="L12" s="21"/>
      <c r="M12" s="21"/>
      <c r="N12" s="21"/>
      <c r="O12" s="21"/>
      <c r="P12" s="21"/>
      <c r="Q12" s="21"/>
      <c r="R12" s="21"/>
      <c r="S12" s="21"/>
      <c r="T12" s="21"/>
      <c r="U12" s="21"/>
    </row>
    <row r="13" spans="3:21">
      <c r="C13" s="21"/>
      <c r="D13" s="21"/>
      <c r="E13" s="21"/>
      <c r="F13" s="21"/>
      <c r="G13" s="21"/>
      <c r="H13" s="21"/>
      <c r="I13" s="21"/>
      <c r="J13" s="21"/>
      <c r="K13" s="21"/>
      <c r="L13" s="21"/>
      <c r="M13" s="21"/>
      <c r="N13" s="21"/>
      <c r="O13" s="21"/>
      <c r="P13" s="21"/>
      <c r="Q13" s="21"/>
      <c r="R13" s="21"/>
      <c r="S13" s="21"/>
      <c r="T13" s="21"/>
      <c r="U13" s="21"/>
    </row>
    <row r="14" spans="3:21">
      <c r="C14" s="21"/>
      <c r="D14" s="21" t="s">
        <v>423</v>
      </c>
      <c r="E14" s="21"/>
      <c r="F14" s="21"/>
      <c r="G14" s="21"/>
      <c r="H14" s="21"/>
      <c r="I14" s="21"/>
      <c r="J14" s="21"/>
      <c r="K14" s="21"/>
      <c r="L14" s="21"/>
      <c r="M14" s="21"/>
      <c r="N14" s="21"/>
      <c r="O14" s="21"/>
      <c r="P14" s="21"/>
      <c r="Q14" s="21"/>
      <c r="R14" s="21"/>
      <c r="S14" s="21"/>
      <c r="T14" s="21"/>
      <c r="U14" s="21"/>
    </row>
    <row r="15" spans="3:21">
      <c r="C15" s="21"/>
      <c r="D15" s="21"/>
      <c r="E15" s="21"/>
      <c r="F15" s="21"/>
      <c r="G15" s="21"/>
      <c r="H15" s="21"/>
      <c r="I15" s="21"/>
      <c r="J15" s="21"/>
      <c r="K15" s="21"/>
      <c r="L15" s="21"/>
      <c r="M15" s="21"/>
      <c r="N15" s="21"/>
      <c r="O15" s="21"/>
      <c r="P15" s="21"/>
      <c r="Q15" s="21"/>
      <c r="R15" s="21"/>
      <c r="S15" s="21"/>
      <c r="T15" s="21"/>
      <c r="U15" s="21"/>
    </row>
    <row r="16" spans="3:21">
      <c r="C16" s="21"/>
      <c r="D16" s="21"/>
      <c r="E16" s="21"/>
      <c r="F16" s="21"/>
      <c r="G16" s="21"/>
      <c r="H16" s="21"/>
      <c r="I16" s="21"/>
      <c r="J16" s="21"/>
      <c r="K16" s="21"/>
      <c r="L16" s="21"/>
      <c r="M16" s="21"/>
      <c r="N16" s="21"/>
      <c r="O16" s="21"/>
      <c r="P16" s="21"/>
      <c r="Q16" s="21"/>
      <c r="R16" s="21"/>
      <c r="S16" s="21"/>
      <c r="T16" s="21"/>
      <c r="U16" s="21"/>
    </row>
    <row r="17" spans="3:21">
      <c r="C17" s="21"/>
      <c r="D17" s="21"/>
      <c r="E17" s="21"/>
      <c r="F17" s="21"/>
      <c r="G17" s="21"/>
      <c r="H17" s="21"/>
      <c r="I17" s="21"/>
      <c r="J17" s="21"/>
      <c r="K17" s="21"/>
      <c r="L17" s="21"/>
      <c r="M17" s="21"/>
      <c r="N17" s="21"/>
      <c r="O17" s="21"/>
      <c r="P17" s="21"/>
      <c r="Q17" s="21"/>
      <c r="R17" s="21"/>
      <c r="S17" s="21"/>
      <c r="T17" s="21"/>
      <c r="U17" s="21"/>
    </row>
    <row r="18" spans="3:21">
      <c r="C18" s="21"/>
      <c r="D18" s="21"/>
      <c r="E18" s="21"/>
      <c r="F18" s="21"/>
      <c r="G18" s="21"/>
      <c r="H18" s="21"/>
      <c r="I18" s="21"/>
      <c r="J18" s="21"/>
      <c r="K18" s="21"/>
      <c r="L18" s="21"/>
      <c r="M18" s="21"/>
      <c r="N18" s="21"/>
      <c r="O18" s="21"/>
      <c r="P18" s="21"/>
      <c r="Q18" s="21"/>
      <c r="R18" s="21"/>
      <c r="S18" s="21"/>
      <c r="T18" s="21"/>
      <c r="U18" s="21"/>
    </row>
    <row r="19" spans="3:21">
      <c r="C19" s="21"/>
      <c r="D19" s="21"/>
      <c r="E19" s="21"/>
      <c r="F19" s="21"/>
      <c r="G19" s="21"/>
      <c r="H19" s="21"/>
      <c r="I19" s="21"/>
      <c r="J19" s="21"/>
      <c r="K19" s="21"/>
      <c r="L19" s="25" t="s">
        <v>419</v>
      </c>
      <c r="M19" s="26" t="s">
        <v>393</v>
      </c>
      <c r="N19" s="26" t="s">
        <v>394</v>
      </c>
      <c r="O19" s="26" t="s">
        <v>395</v>
      </c>
      <c r="P19" s="25" t="s">
        <v>392</v>
      </c>
      <c r="Q19" s="25" t="s">
        <v>5</v>
      </c>
      <c r="R19" s="21"/>
      <c r="S19" s="21"/>
      <c r="T19" s="21"/>
      <c r="U19" s="21"/>
    </row>
    <row r="20" spans="3:21">
      <c r="C20" s="21"/>
      <c r="D20" s="21"/>
      <c r="E20" s="21"/>
      <c r="F20" s="21"/>
      <c r="G20" s="21"/>
      <c r="H20" s="21"/>
      <c r="I20" s="21"/>
      <c r="J20" s="21"/>
      <c r="K20" s="21"/>
      <c r="L20" s="27" t="s">
        <v>32</v>
      </c>
      <c r="M20" s="25">
        <v>579.10933333333332</v>
      </c>
      <c r="N20" s="25">
        <v>6.1740000000000004</v>
      </c>
      <c r="O20" s="28">
        <v>0.99162557077625568</v>
      </c>
      <c r="P20" s="29">
        <v>15</v>
      </c>
      <c r="Q20" s="25" t="s">
        <v>426</v>
      </c>
      <c r="R20" s="21"/>
      <c r="S20" s="21"/>
      <c r="T20" s="21"/>
      <c r="U20" s="21"/>
    </row>
    <row r="21" spans="3:21">
      <c r="C21" s="21"/>
      <c r="D21" s="21"/>
      <c r="E21" s="21"/>
      <c r="F21" s="21"/>
      <c r="G21" s="21"/>
      <c r="H21" s="21"/>
      <c r="I21" s="21"/>
      <c r="J21" s="21"/>
      <c r="K21" s="21"/>
      <c r="L21" s="27" t="s">
        <v>61</v>
      </c>
      <c r="M21" s="25">
        <v>412.5761904761905</v>
      </c>
      <c r="N21" s="25">
        <v>4.4776190476190481</v>
      </c>
      <c r="O21" s="28">
        <v>0.98905251141552519</v>
      </c>
      <c r="P21" s="29">
        <v>21</v>
      </c>
      <c r="Q21" s="25" t="s">
        <v>427</v>
      </c>
      <c r="R21" s="21"/>
      <c r="S21" s="21"/>
      <c r="T21" s="21"/>
      <c r="U21" s="21"/>
    </row>
    <row r="22" spans="3:21">
      <c r="C22" s="21"/>
      <c r="D22" s="21"/>
      <c r="E22" s="21"/>
      <c r="F22" s="21"/>
      <c r="G22" s="21"/>
      <c r="H22" s="21"/>
      <c r="I22" s="21"/>
      <c r="J22" s="21"/>
      <c r="K22" s="21"/>
      <c r="L22" s="27" t="s">
        <v>16</v>
      </c>
      <c r="M22" s="25">
        <v>374.43260869565222</v>
      </c>
      <c r="N22" s="25">
        <v>7.3321739130434773</v>
      </c>
      <c r="O22" s="28">
        <v>0.98309931506849324</v>
      </c>
      <c r="P22" s="29">
        <v>23</v>
      </c>
      <c r="Q22" s="25" t="s">
        <v>427</v>
      </c>
      <c r="R22" s="21"/>
      <c r="S22" s="21"/>
      <c r="T22" s="21"/>
      <c r="U22" s="21"/>
    </row>
    <row r="23" spans="3:21">
      <c r="C23" s="21"/>
      <c r="D23" s="21"/>
      <c r="E23" s="21"/>
      <c r="F23" s="21"/>
      <c r="G23" s="21"/>
      <c r="H23" s="21"/>
      <c r="I23" s="21"/>
      <c r="J23" s="21"/>
      <c r="K23" s="21"/>
      <c r="L23" s="27" t="s">
        <v>41</v>
      </c>
      <c r="M23" s="25">
        <v>541.13</v>
      </c>
      <c r="N23" s="25">
        <v>7.4081250000000001</v>
      </c>
      <c r="O23" s="28">
        <v>0.98836529680365293</v>
      </c>
      <c r="P23" s="29">
        <v>16</v>
      </c>
      <c r="Q23" s="25" t="s">
        <v>427</v>
      </c>
      <c r="R23" s="21"/>
      <c r="S23" s="21"/>
      <c r="T23" s="21"/>
      <c r="U23" s="21"/>
    </row>
    <row r="24" spans="3:21">
      <c r="C24" s="21"/>
      <c r="D24" s="21"/>
      <c r="E24" s="21"/>
      <c r="F24" s="21"/>
      <c r="G24" s="21"/>
      <c r="H24" s="21"/>
      <c r="I24" s="21"/>
      <c r="J24" s="21"/>
      <c r="K24" s="21"/>
      <c r="L24" s="27" t="s">
        <v>49</v>
      </c>
      <c r="M24" s="25">
        <v>1247.3014285714287</v>
      </c>
      <c r="N24" s="25">
        <v>4.3771428571428572</v>
      </c>
      <c r="O24" s="28">
        <v>0.99670205479452056</v>
      </c>
      <c r="P24" s="29">
        <v>7</v>
      </c>
      <c r="Q24" s="25" t="s">
        <v>426</v>
      </c>
      <c r="R24" s="21"/>
      <c r="S24" s="21"/>
      <c r="T24" s="21"/>
      <c r="U24" s="21"/>
    </row>
    <row r="25" spans="3:21">
      <c r="C25" s="21"/>
      <c r="D25" s="21"/>
      <c r="E25" s="21"/>
      <c r="F25" s="21"/>
      <c r="G25" s="21"/>
      <c r="H25" s="21"/>
      <c r="I25" s="21"/>
      <c r="J25" s="21"/>
      <c r="K25" s="21"/>
      <c r="L25" s="27" t="s">
        <v>79</v>
      </c>
      <c r="M25" s="25">
        <v>872.65200000000004</v>
      </c>
      <c r="N25" s="25">
        <v>5.9270000000000005</v>
      </c>
      <c r="O25" s="28">
        <v>0.99617808219178083</v>
      </c>
      <c r="P25" s="29">
        <v>10</v>
      </c>
      <c r="Q25" s="25" t="s">
        <v>426</v>
      </c>
      <c r="R25" s="21"/>
      <c r="S25" s="21"/>
      <c r="T25" s="21"/>
      <c r="U25" s="21"/>
    </row>
    <row r="26" spans="3:21">
      <c r="C26" s="21"/>
      <c r="D26" s="21"/>
      <c r="E26" s="21"/>
      <c r="F26" s="21"/>
      <c r="G26" s="21"/>
      <c r="H26" s="21"/>
      <c r="I26" s="21"/>
      <c r="J26" s="21"/>
      <c r="K26" s="21"/>
      <c r="L26" s="27" t="s">
        <v>23</v>
      </c>
      <c r="M26" s="25">
        <v>1245.0128571428572</v>
      </c>
      <c r="N26" s="25">
        <v>5.1728571428571426</v>
      </c>
      <c r="O26" s="28">
        <v>0.99487328767123284</v>
      </c>
      <c r="P26" s="29">
        <v>7</v>
      </c>
      <c r="Q26" s="25" t="s">
        <v>426</v>
      </c>
      <c r="R26" s="21"/>
      <c r="S26" s="21"/>
      <c r="T26" s="21"/>
      <c r="U26" s="21"/>
    </row>
    <row r="27" spans="3:21">
      <c r="C27" s="21"/>
      <c r="D27" s="21"/>
      <c r="E27" s="21"/>
      <c r="F27" s="21"/>
      <c r="G27" s="21"/>
      <c r="H27" s="21"/>
      <c r="I27" s="21"/>
      <c r="J27" s="21"/>
      <c r="K27" s="21"/>
      <c r="L27" s="27" t="s">
        <v>53</v>
      </c>
      <c r="M27" s="25">
        <v>968.55555555555554</v>
      </c>
      <c r="N27" s="25">
        <v>5.9755555555555553</v>
      </c>
      <c r="O27" s="28">
        <v>0.99509132420091329</v>
      </c>
      <c r="P27" s="29">
        <v>9</v>
      </c>
      <c r="Q27" s="25" t="s">
        <v>426</v>
      </c>
      <c r="R27" s="21"/>
      <c r="S27" s="21"/>
      <c r="T27" s="21"/>
      <c r="U27" s="21"/>
    </row>
    <row r="28" spans="3:21">
      <c r="C28" s="21"/>
      <c r="D28" s="21"/>
      <c r="E28" s="21"/>
      <c r="F28" s="21"/>
      <c r="G28" s="21"/>
      <c r="H28" s="21"/>
      <c r="I28" s="21"/>
      <c r="J28" s="21"/>
      <c r="K28" s="21"/>
      <c r="L28" s="27" t="s">
        <v>27</v>
      </c>
      <c r="M28" s="25">
        <v>725.77</v>
      </c>
      <c r="N28" s="25">
        <v>5.626666666666666</v>
      </c>
      <c r="O28" s="28">
        <v>0.99420547945205473</v>
      </c>
      <c r="P28" s="29">
        <v>12</v>
      </c>
      <c r="Q28" s="25" t="s">
        <v>426</v>
      </c>
      <c r="R28" s="21"/>
      <c r="S28" s="21"/>
      <c r="T28" s="21"/>
      <c r="U28" s="21"/>
    </row>
    <row r="29" spans="3:21">
      <c r="C29" s="21"/>
      <c r="D29" s="21"/>
      <c r="E29" s="21"/>
      <c r="F29" s="21"/>
      <c r="G29" s="21"/>
      <c r="H29" s="21"/>
      <c r="I29" s="21"/>
      <c r="J29" s="21"/>
      <c r="K29" s="21"/>
      <c r="L29" s="27" t="s">
        <v>72</v>
      </c>
      <c r="M29" s="25">
        <v>621.18285714285707</v>
      </c>
      <c r="N29" s="25">
        <v>5.6321428571428571</v>
      </c>
      <c r="O29" s="28">
        <v>0.99275799086757988</v>
      </c>
      <c r="P29" s="29">
        <v>14</v>
      </c>
      <c r="Q29" s="25" t="s">
        <v>426</v>
      </c>
      <c r="R29" s="21"/>
      <c r="S29" s="21"/>
      <c r="T29" s="21"/>
      <c r="U29" s="21"/>
    </row>
    <row r="30" spans="3:21">
      <c r="C30" s="21"/>
      <c r="D30" s="21"/>
      <c r="E30" s="21"/>
      <c r="F30" s="21"/>
      <c r="G30" s="21"/>
      <c r="H30" s="21"/>
      <c r="I30" s="21"/>
      <c r="J30" s="21"/>
      <c r="K30" s="21"/>
      <c r="L30" s="27" t="s">
        <v>65</v>
      </c>
      <c r="M30" s="25">
        <v>967.19333333333327</v>
      </c>
      <c r="N30" s="25">
        <v>6.0377777777777784</v>
      </c>
      <c r="O30" s="28">
        <v>0.99369178082191778</v>
      </c>
      <c r="P30" s="29">
        <v>9</v>
      </c>
      <c r="Q30" s="25" t="s">
        <v>426</v>
      </c>
      <c r="R30" s="21"/>
      <c r="S30" s="21"/>
      <c r="T30" s="21"/>
      <c r="U30" s="21"/>
    </row>
    <row r="31" spans="3:21">
      <c r="C31" s="21"/>
      <c r="D31" s="21"/>
      <c r="E31" s="21"/>
      <c r="F31" s="21"/>
      <c r="G31" s="21"/>
      <c r="H31" s="21"/>
      <c r="I31" s="21"/>
      <c r="J31" s="21"/>
      <c r="K31" s="21"/>
      <c r="L31" s="27" t="s">
        <v>36</v>
      </c>
      <c r="M31" s="25">
        <v>791.40363636363645</v>
      </c>
      <c r="N31" s="25">
        <v>3.7809090909090912</v>
      </c>
      <c r="O31" s="28">
        <v>0.99377168949771699</v>
      </c>
      <c r="P31" s="29">
        <v>11</v>
      </c>
      <c r="Q31" s="25" t="s">
        <v>426</v>
      </c>
      <c r="R31" s="21"/>
      <c r="S31" s="21"/>
      <c r="T31" s="21"/>
      <c r="U31" s="21"/>
    </row>
    <row r="32" spans="3:21">
      <c r="C32" s="21"/>
      <c r="D32" s="21"/>
      <c r="E32" s="21"/>
      <c r="F32" s="21"/>
      <c r="G32" s="21"/>
      <c r="H32" s="21"/>
      <c r="I32" s="21"/>
      <c r="J32" s="21"/>
      <c r="K32" s="21"/>
      <c r="L32" s="21"/>
      <c r="M32" s="21"/>
      <c r="N32" s="21"/>
      <c r="O32" s="21"/>
      <c r="P32" s="21"/>
      <c r="Q32" s="21"/>
      <c r="R32" s="21"/>
      <c r="S32" s="21"/>
      <c r="T32" s="21"/>
      <c r="U32" s="21"/>
    </row>
    <row r="33" spans="3:21">
      <c r="C33" s="21"/>
      <c r="D33" s="21"/>
      <c r="E33" s="21"/>
      <c r="F33" s="21"/>
      <c r="G33" s="21"/>
      <c r="H33" s="21"/>
      <c r="I33" s="21"/>
      <c r="J33" s="21"/>
      <c r="K33" s="21"/>
      <c r="L33" s="21"/>
      <c r="M33" s="21"/>
      <c r="N33" s="21"/>
      <c r="O33" s="21"/>
      <c r="P33" s="21"/>
      <c r="Q33" s="21"/>
      <c r="R33" s="21"/>
      <c r="S33" s="21"/>
      <c r="T33" s="21"/>
      <c r="U33" s="21"/>
    </row>
    <row r="34" spans="3:21">
      <c r="C34" s="21"/>
      <c r="D34" s="21"/>
      <c r="E34" s="21"/>
      <c r="F34" s="21"/>
      <c r="G34" s="21"/>
      <c r="H34" s="21"/>
      <c r="I34" s="21"/>
      <c r="J34" s="21"/>
      <c r="K34" s="21"/>
      <c r="L34" s="21"/>
      <c r="M34" s="21"/>
      <c r="N34" s="21"/>
      <c r="O34" s="21"/>
      <c r="P34" s="21"/>
      <c r="Q34" s="21"/>
      <c r="R34" s="21"/>
      <c r="S34" s="21"/>
      <c r="T34" s="21"/>
      <c r="U34" s="21"/>
    </row>
  </sheetData>
  <mergeCells count="1">
    <mergeCell ref="C1:U1"/>
  </mergeCells>
  <conditionalFormatting sqref="Q19">
    <cfRule type="containsText" dxfId="229" priority="11" operator="containsText" text="NORMAL">
      <formula>NOT(ISERROR(SEARCH("NORMAL",Q19)))</formula>
    </cfRule>
    <cfRule type="containsText" dxfId="228" priority="12" operator="containsText" text="MEDIUM">
      <formula>NOT(ISERROR(SEARCH("MEDIUM",Q19)))</formula>
    </cfRule>
    <cfRule type="containsText" dxfId="227" priority="13" operator="containsText" text="HIGH">
      <formula>NOT(ISERROR(SEARCH("HIGH",Q19)))</formula>
    </cfRule>
  </conditionalFormatting>
  <conditionalFormatting pivot="1" sqref="M20:M31">
    <cfRule type="dataBar" priority="9">
      <dataBar>
        <cfvo type="min"/>
        <cfvo type="max"/>
        <color theme="4"/>
      </dataBar>
      <extLst>
        <ext xmlns:x14="http://schemas.microsoft.com/office/spreadsheetml/2009/9/main" uri="{B025F937-C7B1-47D3-B67F-A62EFF666E3E}">
          <x14:id>{7DC07749-8076-4678-9517-8EAB29C1BDAA}</x14:id>
        </ext>
      </extLst>
    </cfRule>
  </conditionalFormatting>
  <conditionalFormatting pivot="1" sqref="N20:N31">
    <cfRule type="dataBar" priority="8">
      <dataBar>
        <cfvo type="min"/>
        <cfvo type="max"/>
        <color theme="4"/>
      </dataBar>
      <extLst>
        <ext xmlns:x14="http://schemas.microsoft.com/office/spreadsheetml/2009/9/main" uri="{B025F937-C7B1-47D3-B67F-A62EFF666E3E}">
          <x14:id>{E1654F7E-0694-4B2C-9AF2-15A4934FE65A}</x14:id>
        </ext>
      </extLst>
    </cfRule>
  </conditionalFormatting>
  <conditionalFormatting pivot="1" sqref="O20:O31">
    <cfRule type="dataBar" priority="7">
      <dataBar>
        <cfvo type="min"/>
        <cfvo type="max"/>
        <color rgb="FF00B050"/>
      </dataBar>
      <extLst>
        <ext xmlns:x14="http://schemas.microsoft.com/office/spreadsheetml/2009/9/main" uri="{B025F937-C7B1-47D3-B67F-A62EFF666E3E}">
          <x14:id>{02EE84FD-F94A-4EB6-BD5A-49FDCE7830EA}</x14:id>
        </ext>
      </extLst>
    </cfRule>
  </conditionalFormatting>
  <conditionalFormatting pivot="1" sqref="P20:P31">
    <cfRule type="dataBar" priority="5">
      <dataBar>
        <cfvo type="min"/>
        <cfvo type="max"/>
        <color rgb="FFC00000"/>
      </dataBar>
      <extLst>
        <ext xmlns:x14="http://schemas.microsoft.com/office/spreadsheetml/2009/9/main" uri="{B025F937-C7B1-47D3-B67F-A62EFF666E3E}">
          <x14:id>{88276860-ABEB-47B9-8AB6-BCCCB969CAB0}</x14:id>
        </ext>
      </extLst>
    </cfRule>
  </conditionalFormatting>
  <conditionalFormatting pivot="1" sqref="Q20:Q31">
    <cfRule type="cellIs" dxfId="226" priority="4" operator="equal">
      <formula>"NORMAL"</formula>
    </cfRule>
  </conditionalFormatting>
  <conditionalFormatting pivot="1" sqref="Q20:Q31">
    <cfRule type="cellIs" dxfId="225" priority="3" operator="equal">
      <formula>"HIGH"</formula>
    </cfRule>
  </conditionalFormatting>
  <conditionalFormatting pivot="1" sqref="Q20:Q31">
    <cfRule type="cellIs" dxfId="224" priority="1" operator="equal">
      <formula>"MEDIUM"</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DC07749-8076-4678-9517-8EAB29C1BDAA}">
            <x14:dataBar minLength="0" maxLength="100" gradient="0">
              <x14:cfvo type="autoMin"/>
              <x14:cfvo type="autoMax"/>
              <x14:negativeFillColor rgb="FFFF0000"/>
              <x14:axisColor rgb="FF000000"/>
            </x14:dataBar>
          </x14:cfRule>
          <xm:sqref>M20:M31</xm:sqref>
        </x14:conditionalFormatting>
        <x14:conditionalFormatting xmlns:xm="http://schemas.microsoft.com/office/excel/2006/main" pivot="1">
          <x14:cfRule type="dataBar" id="{E1654F7E-0694-4B2C-9AF2-15A4934FE65A}">
            <x14:dataBar minLength="0" maxLength="100" gradient="0">
              <x14:cfvo type="autoMin"/>
              <x14:cfvo type="autoMax"/>
              <x14:negativeFillColor rgb="FFFF0000"/>
              <x14:axisColor rgb="FF000000"/>
            </x14:dataBar>
          </x14:cfRule>
          <xm:sqref>N20:N31</xm:sqref>
        </x14:conditionalFormatting>
        <x14:conditionalFormatting xmlns:xm="http://schemas.microsoft.com/office/excel/2006/main" pivot="1">
          <x14:cfRule type="dataBar" id="{02EE84FD-F94A-4EB6-BD5A-49FDCE7830EA}">
            <x14:dataBar minLength="0" maxLength="100" gradient="0">
              <x14:cfvo type="autoMin"/>
              <x14:cfvo type="autoMax"/>
              <x14:negativeFillColor rgb="FFFF0000"/>
              <x14:axisColor rgb="FF000000"/>
            </x14:dataBar>
          </x14:cfRule>
          <xm:sqref>O20:O31</xm:sqref>
        </x14:conditionalFormatting>
        <x14:conditionalFormatting xmlns:xm="http://schemas.microsoft.com/office/excel/2006/main" pivot="1">
          <x14:cfRule type="dataBar" id="{88276860-ABEB-47B9-8AB6-BCCCB969CAB0}">
            <x14:dataBar minLength="0" maxLength="100" gradient="0">
              <x14:cfvo type="autoMin"/>
              <x14:cfvo type="autoMax"/>
              <x14:negativeFillColor rgb="FFFF0000"/>
              <x14:axisColor rgb="FF000000"/>
            </x14:dataBar>
          </x14:cfRule>
          <xm:sqref>P20:P31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0769F8F-76E7-47DE-B6AA-1669FAFBD321}">
  <ds:schemaRefs/>
</ds:datastoreItem>
</file>

<file path=customXml/itemProps2.xml><?xml version="1.0" encoding="utf-8"?>
<ds:datastoreItem xmlns:ds="http://schemas.openxmlformats.org/officeDocument/2006/customXml" ds:itemID="{946DF799-1BB6-4B46-8B22-3010EF5C4CD0}">
  <ds:schemaRefs/>
</ds:datastoreItem>
</file>

<file path=customXml/itemProps3.xml><?xml version="1.0" encoding="utf-8"?>
<ds:datastoreItem xmlns:ds="http://schemas.openxmlformats.org/officeDocument/2006/customXml" ds:itemID="{91EE431B-74DD-476E-B394-ABD0004D6A6C}">
  <ds:schemaRefs/>
</ds:datastoreItem>
</file>

<file path=customXml/itemProps4.xml><?xml version="1.0" encoding="utf-8"?>
<ds:datastoreItem xmlns:ds="http://schemas.openxmlformats.org/officeDocument/2006/customXml" ds:itemID="{91E92D37-BA61-4E08-B651-726D100CC9A1}">
  <ds:schemaRefs/>
</ds:datastoreItem>
</file>

<file path=customXml/itemProps5.xml><?xml version="1.0" encoding="utf-8"?>
<ds:datastoreItem xmlns:ds="http://schemas.openxmlformats.org/officeDocument/2006/customXml" ds:itemID="{CA5C6716-21BB-4E4E-984B-D74E512D980C}">
  <ds:schemaRefs/>
</ds:datastoreItem>
</file>

<file path=customXml/itemProps6.xml><?xml version="1.0" encoding="utf-8"?>
<ds:datastoreItem xmlns:ds="http://schemas.openxmlformats.org/officeDocument/2006/customXml" ds:itemID="{79441B82-6CCB-4085-B37A-1C03443459CA}">
  <ds:schemaRefs/>
</ds:datastoreItem>
</file>

<file path=customXml/itemProps7.xml><?xml version="1.0" encoding="utf-8"?>
<ds:datastoreItem xmlns:ds="http://schemas.openxmlformats.org/officeDocument/2006/customXml" ds:itemID="{0B029D96-9BE9-44CB-9D57-99EDE0E0C54F}">
  <ds:schemaRefs/>
</ds:datastoreItem>
</file>

<file path=customXml/itemProps8.xml><?xml version="1.0" encoding="utf-8"?>
<ds:datastoreItem xmlns:ds="http://schemas.openxmlformats.org/officeDocument/2006/customXml" ds:itemID="{5BC9FD73-FC35-42E2-8E1E-18141E2CB169}">
  <ds:schemaRefs/>
</ds:datastoreItem>
</file>

<file path=customXml/itemProps9.xml><?xml version="1.0" encoding="utf-8"?>
<ds:datastoreItem xmlns:ds="http://schemas.openxmlformats.org/officeDocument/2006/customXml" ds:itemID="{1F580891-A7C6-47F6-96CD-D4FD449FAB2D}">
  <ds:schemaRefs/>
</ds:datastoreItem>
</file>

<file path=customXml/itemProps10.xml><?xml version="1.0" encoding="utf-8"?>
<ds:datastoreItem xmlns:ds="http://schemas.openxmlformats.org/officeDocument/2006/customXml" ds:itemID="{C3896228-2C7D-4C44-B8EE-04EDF4F4A20E}">
  <ds:schemaRefs/>
</ds:datastoreItem>
</file>

<file path=customXml/itemProps11.xml><?xml version="1.0" encoding="utf-8"?>
<ds:datastoreItem xmlns:ds="http://schemas.openxmlformats.org/officeDocument/2006/customXml" ds:itemID="{4E7F23BA-A837-4731-9F6D-38363FBFA223}">
  <ds:schemaRefs/>
</ds:datastoreItem>
</file>

<file path=customXml/itemProps12.xml><?xml version="1.0" encoding="utf-8"?>
<ds:datastoreItem xmlns:ds="http://schemas.openxmlformats.org/officeDocument/2006/customXml" ds:itemID="{6FC33EBF-D374-4952-A603-B286F502EA1E}">
  <ds:schemaRefs/>
</ds:datastoreItem>
</file>

<file path=customXml/itemProps13.xml><?xml version="1.0" encoding="utf-8"?>
<ds:datastoreItem xmlns:ds="http://schemas.openxmlformats.org/officeDocument/2006/customXml" ds:itemID="{9280FF00-E2E5-4EB1-B395-6FC845DD3A98}">
  <ds:schemaRefs>
    <ds:schemaRef ds:uri="http://schemas.microsoft.com/DataMashup"/>
  </ds:schemaRefs>
</ds:datastoreItem>
</file>

<file path=customXml/itemProps14.xml><?xml version="1.0" encoding="utf-8"?>
<ds:datastoreItem xmlns:ds="http://schemas.openxmlformats.org/officeDocument/2006/customXml" ds:itemID="{24DE269A-6EC4-44AF-BA27-395B8848CD59}">
  <ds:schemaRefs/>
</ds:datastoreItem>
</file>

<file path=customXml/itemProps15.xml><?xml version="1.0" encoding="utf-8"?>
<ds:datastoreItem xmlns:ds="http://schemas.openxmlformats.org/officeDocument/2006/customXml" ds:itemID="{2FD89550-2EC0-4E2B-AE70-6A9A2E9F67A4}">
  <ds:schemaRefs/>
</ds:datastoreItem>
</file>

<file path=customXml/itemProps16.xml><?xml version="1.0" encoding="utf-8"?>
<ds:datastoreItem xmlns:ds="http://schemas.openxmlformats.org/officeDocument/2006/customXml" ds:itemID="{A6751C94-994B-4BAD-898E-593327271836}">
  <ds:schemaRefs/>
</ds:datastoreItem>
</file>

<file path=customXml/itemProps17.xml><?xml version="1.0" encoding="utf-8"?>
<ds:datastoreItem xmlns:ds="http://schemas.openxmlformats.org/officeDocument/2006/customXml" ds:itemID="{B580EC1A-CE10-441F-9EEF-EBF9E741C628}">
  <ds:schemaRefs/>
</ds:datastoreItem>
</file>

<file path=customXml/itemProps18.xml><?xml version="1.0" encoding="utf-8"?>
<ds:datastoreItem xmlns:ds="http://schemas.openxmlformats.org/officeDocument/2006/customXml" ds:itemID="{79D8C4DF-0D83-48A9-B5FE-308F42E0018E}">
  <ds:schemaRefs/>
</ds:datastoreItem>
</file>

<file path=customXml/itemProps19.xml><?xml version="1.0" encoding="utf-8"?>
<ds:datastoreItem xmlns:ds="http://schemas.openxmlformats.org/officeDocument/2006/customXml" ds:itemID="{94D1D773-344A-4AAB-993B-0812103A55C5}">
  <ds:schemaRefs/>
</ds:datastoreItem>
</file>

<file path=customXml/itemProps20.xml><?xml version="1.0" encoding="utf-8"?>
<ds:datastoreItem xmlns:ds="http://schemas.openxmlformats.org/officeDocument/2006/customXml" ds:itemID="{7342E78E-4AE8-4EAA-AA19-522BFBFD44C3}">
  <ds:schemaRefs/>
</ds:datastoreItem>
</file>

<file path=customXml/itemProps21.xml><?xml version="1.0" encoding="utf-8"?>
<ds:datastoreItem xmlns:ds="http://schemas.openxmlformats.org/officeDocument/2006/customXml" ds:itemID="{BDEA6D81-7DA4-432F-A856-CD4CE80263FC}">
  <ds:schemaRefs/>
</ds:datastoreItem>
</file>

<file path=customXml/itemProps22.xml><?xml version="1.0" encoding="utf-8"?>
<ds:datastoreItem xmlns:ds="http://schemas.openxmlformats.org/officeDocument/2006/customXml" ds:itemID="{C6288CF2-51FE-4D7C-A22E-C998D627BB8A}">
  <ds:schemaRefs/>
</ds:datastoreItem>
</file>

<file path=customXml/itemProps23.xml><?xml version="1.0" encoding="utf-8"?>
<ds:datastoreItem xmlns:ds="http://schemas.openxmlformats.org/officeDocument/2006/customXml" ds:itemID="{57118F17-F473-4414-B990-C4D651EDDE22}">
  <ds:schemaRefs/>
</ds:datastoreItem>
</file>

<file path=customXml/itemProps24.xml><?xml version="1.0" encoding="utf-8"?>
<ds:datastoreItem xmlns:ds="http://schemas.openxmlformats.org/officeDocument/2006/customXml" ds:itemID="{EE54BD48-8D9D-4414-8CA5-4F33D3464ADB}">
  <ds:schemaRefs/>
</ds:datastoreItem>
</file>

<file path=customXml/itemProps25.xml><?xml version="1.0" encoding="utf-8"?>
<ds:datastoreItem xmlns:ds="http://schemas.openxmlformats.org/officeDocument/2006/customXml" ds:itemID="{5187DDCB-5B5A-47B3-85E0-29CD9448E122}">
  <ds:schemaRefs/>
</ds:datastoreItem>
</file>

<file path=customXml/itemProps26.xml><?xml version="1.0" encoding="utf-8"?>
<ds:datastoreItem xmlns:ds="http://schemas.openxmlformats.org/officeDocument/2006/customXml" ds:itemID="{0501F0BF-DC5F-409A-8F6A-18A83BD189E3}">
  <ds:schemaRefs/>
</ds:datastoreItem>
</file>

<file path=customXml/itemProps27.xml><?xml version="1.0" encoding="utf-8"?>
<ds:datastoreItem xmlns:ds="http://schemas.openxmlformats.org/officeDocument/2006/customXml" ds:itemID="{237B62BD-A06D-414F-AADA-057CB8552A40}">
  <ds:schemaRefs/>
</ds:datastoreItem>
</file>

<file path=customXml/itemProps28.xml><?xml version="1.0" encoding="utf-8"?>
<ds:datastoreItem xmlns:ds="http://schemas.openxmlformats.org/officeDocument/2006/customXml" ds:itemID="{D37AD5FD-8BE4-473A-A4A9-5B4FAA088E75}">
  <ds:schemaRefs/>
</ds:datastoreItem>
</file>

<file path=customXml/itemProps29.xml><?xml version="1.0" encoding="utf-8"?>
<ds:datastoreItem xmlns:ds="http://schemas.openxmlformats.org/officeDocument/2006/customXml" ds:itemID="{2DBC3D47-BB29-4353-AC4B-33FF482B5342}">
  <ds:schemaRefs/>
</ds:datastoreItem>
</file>

<file path=customXml/itemProps30.xml><?xml version="1.0" encoding="utf-8"?>
<ds:datastoreItem xmlns:ds="http://schemas.openxmlformats.org/officeDocument/2006/customXml" ds:itemID="{70F9B1BC-0C64-491A-9343-7D826584B6B1}">
  <ds:schemaRefs/>
</ds:datastoreItem>
</file>

<file path=customXml/itemProps31.xml><?xml version="1.0" encoding="utf-8"?>
<ds:datastoreItem xmlns:ds="http://schemas.openxmlformats.org/officeDocument/2006/customXml" ds:itemID="{3D7CBEBA-FC5F-4FFB-B947-5AC90AD5FC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Project_Brief</vt:lpstr>
      <vt:lpstr>Fact_Table</vt:lpstr>
      <vt:lpstr>Asset_Master</vt:lpstr>
      <vt:lpstr>Maintenance Data</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C. OFUOKWU</cp:lastModifiedBy>
  <dcterms:created xsi:type="dcterms:W3CDTF">2026-09-02T17:50:07Z</dcterms:created>
  <dcterms:modified xsi:type="dcterms:W3CDTF">2026-09-11T20:19:43Z</dcterms:modified>
</cp:coreProperties>
</file>